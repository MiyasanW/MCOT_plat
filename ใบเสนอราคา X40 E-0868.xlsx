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1ed51d6a5cb0e8/Y68/เช่าอุปกรณ์ Y68/เช่า Lens/Lens Maker/"/>
    </mc:Choice>
  </mc:AlternateContent>
  <xr:revisionPtr revIDLastSave="107" documentId="8_{6521AF09-5EF6-5C40-9712-9A252E27DE15}" xr6:coauthVersionLast="47" xr6:coauthVersionMax="47" xr10:uidLastSave="{748F8CBA-3826-434C-8582-7C9CD5CD6453}"/>
  <bookViews>
    <workbookView xWindow="-28920" yWindow="750" windowWidth="29040" windowHeight="15720" activeTab="2" xr2:uid="{D85BE665-8362-440C-A230-3C6F84D8B9B7}"/>
  </bookViews>
  <sheets>
    <sheet name="ใบเสนอราคา Oct66" sheetId="1" state="hidden" r:id="rId1"/>
    <sheet name="ใบเสนอราคา July67" sheetId="2" state="hidden" r:id="rId2"/>
    <sheet name="LensX40" sheetId="3" r:id="rId3"/>
  </sheets>
  <definedNames>
    <definedName name="_xlnm.Print_Area" localSheetId="2">LensX40!$A$1:$H$40</definedName>
    <definedName name="_xlnm.Print_Area" localSheetId="1">'ใบเสนอราคา July67'!$A$1:$H$40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H27" i="3"/>
  <c r="H17" i="3"/>
  <c r="H20" i="2"/>
  <c r="H19" i="2"/>
  <c r="H18" i="2"/>
  <c r="H26" i="3" l="1"/>
  <c r="H26" i="2"/>
  <c r="H28" i="2" s="1"/>
  <c r="H17" i="1"/>
  <c r="H26" i="1" s="1"/>
  <c r="H28" i="1" s="1"/>
  <c r="H29" i="2" l="1"/>
  <c r="H30" i="2" s="1"/>
  <c r="F31" i="2" s="1"/>
  <c r="H29" i="1"/>
  <c r="H30" i="1" s="1"/>
  <c r="F31" i="1" s="1"/>
  <c r="H29" i="3" l="1"/>
  <c r="H30" i="3" s="1"/>
</calcChain>
</file>

<file path=xl/sharedStrings.xml><?xml version="1.0" encoding="utf-8"?>
<sst xmlns="http://schemas.openxmlformats.org/spreadsheetml/2006/main" count="168" uniqueCount="91">
  <si>
    <t>ใบเสนอราคา/QUOTATION</t>
  </si>
  <si>
    <t>บริษัท อสมท จำกัด (มหาชน)</t>
  </si>
  <si>
    <t>ที่อยู่ 63/1 ถนนพระราม 9 แขวงห้วยขวาง เขตห้วยขวาง กรุงเทพมหานคร 10310</t>
  </si>
  <si>
    <t>วันที่</t>
  </si>
  <si>
    <t>วันที่ Date :</t>
  </si>
  <si>
    <t>เลขที่ใบเสนอราคา</t>
  </si>
  <si>
    <t>เลขที่ NO. :</t>
  </si>
  <si>
    <t>เลขประจำตัวผู้เสียภาษี 0107547000745</t>
  </si>
  <si>
    <t>ID ลูกค้า</t>
  </si>
  <si>
    <t>เสนอ:</t>
  </si>
  <si>
    <t>ใช้ได้ถึง:</t>
  </si>
  <si>
    <t>ใช้ได้ถึง Expired Date :</t>
  </si>
  <si>
    <t>ชื่อ คุณแสวง เสือดี</t>
  </si>
  <si>
    <t>เตรียมโดย:</t>
  </si>
  <si>
    <t>ชื่อบริษัท    แพลน บี อีเลฟเว่น จำกัด</t>
  </si>
  <si>
    <t>โทรศัพท์</t>
  </si>
  <si>
    <t xml:space="preserve"> -</t>
  </si>
  <si>
    <t>เลขประจำตัวผู้เสียภาษี -</t>
  </si>
  <si>
    <t>ลำดับที่
item</t>
  </si>
  <si>
    <t>รายละเอียด
Description</t>
  </si>
  <si>
    <t>จำนวน
(เดือน)</t>
  </si>
  <si>
    <t>ราคาต่อเดือน
Price/Mth</t>
  </si>
  <si>
    <t>ราคารวม
Amount</t>
  </si>
  <si>
    <t xml:space="preserve">          Studio จำนวน 1 ห้อง (Studio 4)</t>
  </si>
  <si>
    <t xml:space="preserve">          VO Room จำนวน 1 ห้อง</t>
  </si>
  <si>
    <t xml:space="preserve">          NLE Room จำนวน 1 ห้อง</t>
  </si>
  <si>
    <t xml:space="preserve">          MCR Room จำนวน 1 ห้อง</t>
  </si>
  <si>
    <t xml:space="preserve">          Satellite System</t>
  </si>
  <si>
    <t xml:space="preserve">          Live U for Studio</t>
  </si>
  <si>
    <t xml:space="preserve">          Office จำนวน 3 ห้อง</t>
  </si>
  <si>
    <t>Remarks      :</t>
  </si>
  <si>
    <t>1. ราคานี้รวมเจ้าหน้าที่ปฏิบัติงาน</t>
  </si>
  <si>
    <t>มูลค่าสินค้า</t>
  </si>
  <si>
    <t>ราคารวม TOTAL PRICE</t>
  </si>
  <si>
    <t>ส่วนลด Discount</t>
  </si>
  <si>
    <t>คงเหลือ</t>
  </si>
  <si>
    <t>ภาษีมูลค่าเพิ่ม 7 %</t>
  </si>
  <si>
    <t>ภาษีมูลค่าเพิ่ม VAT 7%</t>
  </si>
  <si>
    <t>ราคารวมทั้งสิ้น NET TOTAL</t>
  </si>
  <si>
    <t>อีเมล sukrit.wa@mcot.net</t>
  </si>
  <si>
    <t>ลูกค้า /Customer</t>
  </si>
  <si>
    <t>เจ้าหน้าที่ขาย/Sales</t>
  </si>
  <si>
    <t>ผู้มีอำนาจเสนอราคา/Authorized Signature</t>
  </si>
  <si>
    <t>ยืนยันการใช้บริการตามเงื่อนไข/ข้อเสนอข้างต้น 
Confirm to order and accept all of terms and conditions of this quotation.</t>
  </si>
  <si>
    <t xml:space="preserve">ขอแสดงความนับถือ
Best Regards, </t>
  </si>
  <si>
    <t>เสนอราคาตามเงื่อนไข / ข้อเสนอข้างต้นApprove all of terms and condtions of this quotation</t>
  </si>
  <si>
    <t>( นายสุกฤษฏิ์ วรรณสุข  )</t>
  </si>
  <si>
    <t xml:space="preserve">          ( นายธานินทร์ ถาวรศาสนวงศ์ )</t>
  </si>
  <si>
    <t xml:space="preserve">วันที่ Date </t>
  </si>
  <si>
    <t>3. กำหนดยืนราคา 30  วัน</t>
  </si>
  <si>
    <t xml:space="preserve">2. ชำระเป็นรายเดือน ระยะเวลาการชำระเงิน (Credit Term) 30 วัน </t>
  </si>
  <si>
    <t>E - 0901/2566</t>
  </si>
  <si>
    <t xml:space="preserve">       /              / 2566</t>
  </si>
  <si>
    <t>วันที่ Date               /               / 2566</t>
  </si>
  <si>
    <t xml:space="preserve">       วันที่ Date               /                / 2566</t>
  </si>
  <si>
    <t xml:space="preserve">ที่อยู่  เลขที่ 1700 อาคารแพลน บี ทาวเวอร์ ชั้นที่ 15 - 16 </t>
  </si>
  <si>
    <t>ถนนเพชรบุรีตัดใหม่ แขวงพลับพลา เขตวังทองหลาง กทม.</t>
  </si>
  <si>
    <t xml:space="preserve">โทรศัพท์ 02 201 6131 </t>
  </si>
  <si>
    <t>หากมีคำถามเกี่ยวกับใบเสนอราคานี้ โปรดติดต่อ นายสุกฤษฏิ์ วรรณสุข เบอร์โทรศัพท์  02-201-6131</t>
  </si>
  <si>
    <t>ค่าบริการห้องส่ง, ห้องควบคุมการออกอากาศและพื้นที่สำนักงาน ระยะเวลาตั้งแต่ 1 ต.ค.66 - 31 พ.ค.67</t>
  </si>
  <si>
    <t>วันที่ Date               /               / 2567</t>
  </si>
  <si>
    <t xml:space="preserve">       วันที่ Date               /                / 2567</t>
  </si>
  <si>
    <t>ชื่อ คุณสุวิทย์ ไพบูลย์</t>
  </si>
  <si>
    <t>จำนวน
(หน่วย)</t>
  </si>
  <si>
    <t>ราคาต่อหน่วย
Price/Unit</t>
  </si>
  <si>
    <t>หากมีคำถามเกี่ยวกับใบเสนอราคานี้ โปรดติดต่อ นายสุกฤษฏิ์ วรรณสุข เบอร์โทรศัพท์  02-201-6143</t>
  </si>
  <si>
    <t xml:space="preserve">       /              / 2567</t>
  </si>
  <si>
    <t xml:space="preserve"> /9/2024</t>
  </si>
  <si>
    <t>E -         /2567</t>
  </si>
  <si>
    <t>/9/2024</t>
  </si>
  <si>
    <t>ชื่อบริษัท    ท็อปนิวส์ ดิจิตอล มีเดีย จำกัด</t>
  </si>
  <si>
    <t>อำเภอบางพลี จังหวัดสมุทรปราการ</t>
  </si>
  <si>
    <t>ที่อยู่ 333 หมู่ 4 ธนาซิตี้ ตำบลบางโฉลง</t>
  </si>
  <si>
    <t xml:space="preserve">ค่าเช่าอุปกรณ์กล้องยี่ห้อ Panasonic  รุ่น AK-H3500E พร้อม CCU รุ่น AK-HCU3550E และ Remote Control </t>
  </si>
  <si>
    <t>- ระยะเวลาเช่า 7 วัน</t>
  </si>
  <si>
    <t>- ระยะเวลาเช่า 15 วัน</t>
  </si>
  <si>
    <t>- ระยะเวลาเช่า 30 วัน</t>
  </si>
  <si>
    <t>1.  ราคาดังกล่าวยังไม่รวมภาษีมูลค่าเพิ่ม</t>
  </si>
  <si>
    <t>ราคารวม
Amount (บาท)</t>
  </si>
  <si>
    <t xml:space="preserve">                   (นายอุดมศักดิ์ ชูฤทธิ์)</t>
  </si>
  <si>
    <t>ชื่อบริษัท    เมกเกอร์ เทเลวิชั่น จำกัด (สำนักงานใหญ่)</t>
  </si>
  <si>
    <t>ที่อยู่ เลขที่ 304/76  ซอยลาดพร้าว 87  ถนนลาดพร้าว</t>
  </si>
  <si>
    <t>แขวงคลองเจ้าคุณสิงห์  เขตวังทองหลาง  กรุงเทพมหานคร</t>
  </si>
  <si>
    <t>เลขประจำตัวผู้เสียภาษี 0105543072464</t>
  </si>
  <si>
    <t>วันที่ Date               /               / 2568</t>
  </si>
  <si>
    <t xml:space="preserve">       วันที่ Date               /                / 2568</t>
  </si>
  <si>
    <t xml:space="preserve">ค่าเช่าอุปกรณ์ Lens X40 ยี่ห้อ Canon ต่อวัน                   </t>
  </si>
  <si>
    <t>Remarks :</t>
  </si>
  <si>
    <t xml:space="preserve"> /8/2025</t>
  </si>
  <si>
    <t>E - 080768</t>
  </si>
  <si>
    <t xml:space="preserve">       /              /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</si>
</sst>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107041E]d\ mmmm\ yyyy;@"/>
    <numFmt numFmtId="165" formatCode="_(* #,##0_);_(* \(#,##0\);_(* &quot;-&quot;??_);_(@_)"/>
    <numFmt numFmtId="166" formatCode="@\ \ "/>
    <numFmt numFmtId="167" formatCode="#,##0.00_ ;\-#,##0.00\ "/>
    <numFmt numFmtId="168" formatCode="0.0000%"/>
    <numFmt numFmtId="169" formatCode="0.00000%"/>
    <numFmt numFmtId="170" formatCode="0.0000000%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4"/>
      <name val="Arial"/>
      <family val="2"/>
    </font>
    <font>
      <sz val="28"/>
      <color indexed="45"/>
      <name val="Arial Black"/>
      <family val="2"/>
    </font>
    <font>
      <sz val="10"/>
      <color rgb="FF000000"/>
      <name val="Cordia New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64" fontId="1" fillId="0" borderId="0" xfId="0" applyNumberFormat="1" applyFont="1" applyAlignment="1">
      <alignment horizontal="right" indent="1" shrinkToFit="1"/>
    </xf>
    <xf numFmtId="0" fontId="7" fillId="0" borderId="0" xfId="2" applyAlignment="1" applyProtection="1">
      <alignment horizontal="center" vertical="center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left" indent="1"/>
    </xf>
    <xf numFmtId="0" fontId="6" fillId="0" borderId="0" xfId="0" applyFont="1"/>
    <xf numFmtId="0" fontId="8" fillId="0" borderId="0" xfId="0" applyFont="1" applyAlignment="1">
      <alignment horizontal="right"/>
    </xf>
    <xf numFmtId="0" fontId="1" fillId="0" borderId="0" xfId="0" applyFont="1" applyAlignment="1">
      <alignment horizontal="left" indent="1" shrinkToFit="1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43" fontId="1" fillId="0" borderId="9" xfId="1" applyFont="1" applyBorder="1" applyAlignment="1">
      <alignment vertical="center" wrapText="1"/>
    </xf>
    <xf numFmtId="4" fontId="1" fillId="0" borderId="10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165" fontId="1" fillId="0" borderId="9" xfId="1" applyNumberFormat="1" applyFont="1" applyBorder="1" applyAlignment="1">
      <alignment horizontal="right" vertical="center" wrapText="1"/>
    </xf>
    <xf numFmtId="43" fontId="1" fillId="0" borderId="10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43" fontId="1" fillId="0" borderId="12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3" fontId="1" fillId="0" borderId="1" xfId="0" applyNumberFormat="1" applyFont="1" applyBorder="1" applyAlignment="1">
      <alignment horizontal="right" vertical="center"/>
    </xf>
    <xf numFmtId="43" fontId="0" fillId="0" borderId="0" xfId="0" applyNumberFormat="1" applyAlignment="1">
      <alignment vertical="center"/>
    </xf>
    <xf numFmtId="0" fontId="0" fillId="0" borderId="11" xfId="0" applyBorder="1" applyAlignment="1">
      <alignment vertical="center"/>
    </xf>
    <xf numFmtId="0" fontId="9" fillId="0" borderId="1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6" fontId="6" fillId="0" borderId="2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9" fillId="0" borderId="15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166" fontId="6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/>
    <xf numFmtId="0" fontId="1" fillId="0" borderId="9" xfId="0" applyFont="1" applyBorder="1"/>
    <xf numFmtId="0" fontId="1" fillId="0" borderId="15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9" fillId="0" borderId="11" xfId="0" applyFont="1" applyBorder="1"/>
    <xf numFmtId="0" fontId="9" fillId="0" borderId="0" xfId="0" applyFont="1"/>
    <xf numFmtId="0" fontId="0" fillId="0" borderId="11" xfId="0" applyBorder="1"/>
    <xf numFmtId="0" fontId="11" fillId="0" borderId="9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7" fontId="1" fillId="0" borderId="12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/>
    </xf>
    <xf numFmtId="168" fontId="0" fillId="0" borderId="0" xfId="3" applyNumberFormat="1" applyFont="1" applyAlignment="1">
      <alignment vertical="center"/>
    </xf>
    <xf numFmtId="169" fontId="0" fillId="0" borderId="0" xfId="3" applyNumberFormat="1" applyFont="1" applyAlignment="1">
      <alignment vertical="center"/>
    </xf>
    <xf numFmtId="0" fontId="1" fillId="0" borderId="0" xfId="0" applyFont="1" applyAlignment="1">
      <alignment horizontal="left" indent="4"/>
    </xf>
    <xf numFmtId="164" fontId="1" fillId="0" borderId="0" xfId="0" applyNumberFormat="1" applyFont="1" applyAlignment="1">
      <alignment horizontal="left" indent="4" shrinkToFit="1"/>
    </xf>
    <xf numFmtId="0" fontId="1" fillId="0" borderId="15" xfId="0" applyFont="1" applyBorder="1" applyAlignment="1">
      <alignment horizontal="left" indent="1"/>
    </xf>
    <xf numFmtId="170" fontId="0" fillId="0" borderId="0" xfId="3" applyNumberFormat="1" applyFont="1" applyAlignment="1">
      <alignment vertical="center"/>
    </xf>
    <xf numFmtId="43" fontId="0" fillId="0" borderId="0" xfId="0" applyNumberFormat="1"/>
    <xf numFmtId="0" fontId="0" fillId="0" borderId="0" xfId="0" applyAlignment="1">
      <alignment horizontal="left" indent="7"/>
    </xf>
    <xf numFmtId="0" fontId="10" fillId="0" borderId="5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2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1" xfId="0" quotePrefix="1" applyFont="1" applyBorder="1" applyAlignment="1">
      <alignment horizontal="left" vertical="center" wrapText="1"/>
    </xf>
    <xf numFmtId="0" fontId="9" fillId="0" borderId="11" xfId="0" quotePrefix="1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indent="3"/>
    </xf>
    <xf numFmtId="0" fontId="9" fillId="0" borderId="3" xfId="0" applyFont="1" applyBorder="1" applyAlignment="1">
      <alignment horizontal="left" vertical="center" indent="3"/>
    </xf>
    <xf numFmtId="0" fontId="9" fillId="0" borderId="4" xfId="0" applyFont="1" applyBorder="1" applyAlignment="1">
      <alignment horizontal="left" vertical="center" indent="3"/>
    </xf>
    <xf numFmtId="0" fontId="9" fillId="0" borderId="11" xfId="0" quotePrefix="1" applyFont="1" applyBorder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2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986986</xdr:colOff>
      <xdr:row>0</xdr:row>
      <xdr:rowOff>65690</xdr:rowOff>
    </xdr:from>
    <xdr:to>
      <xdr:col>5</xdr:col>
      <xdr:colOff>133953</xdr:colOff>
      <xdr:row>1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E10CA-E54E-49A0-86D6-DAFE1A5057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961" y="65690"/>
          <a:ext cx="899567" cy="613212"/>
        </a:xfrm>
        <a:prstGeom prst="rect">
          <a:avLst/>
        </a:prstGeom>
      </xdr:spPr>
    </xdr:pic>
    <xdr:clientData/>
  </xdr:twoCellAnchor>
  <xdr:twoCellAnchor>
    <xdr:from>
      <xdr:col>0</xdr:col>
      <xdr:colOff>486104</xdr:colOff>
      <xdr:row>9</xdr:row>
      <xdr:rowOff>164224</xdr:rowOff>
    </xdr:from>
    <xdr:to>
      <xdr:col>3</xdr:col>
      <xdr:colOff>0</xdr:colOff>
      <xdr:row>9</xdr:row>
      <xdr:rowOff>164224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C32EDC-4E18-4B55-AC25-C30F2F5FA546}"/>
            </a:ext>
          </a:extLst>
        </xdr:cNvPr>
        <xdr:cNvCxnSpPr/>
      </xdr:nvCxnSpPr>
      <xdr:spPr bwMode="auto">
        <a:xfrm>
          <a:off x="486104" y="2516899"/>
          <a:ext cx="297147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32846</xdr:colOff>
      <xdr:row>11</xdr:row>
      <xdr:rowOff>165538</xdr:rowOff>
    </xdr:from>
    <xdr:to>
      <xdr:col>3</xdr:col>
      <xdr:colOff>0</xdr:colOff>
      <xdr:row>11</xdr:row>
      <xdr:rowOff>165538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C44B8C-3FB1-4112-BECA-E00C7C030B98}"/>
            </a:ext>
          </a:extLst>
        </xdr:cNvPr>
        <xdr:cNvCxnSpPr/>
      </xdr:nvCxnSpPr>
      <xdr:spPr bwMode="auto">
        <a:xfrm>
          <a:off x="32846" y="2899213"/>
          <a:ext cx="342472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295604</xdr:colOff>
      <xdr:row>10</xdr:row>
      <xdr:rowOff>165538</xdr:rowOff>
    </xdr:from>
    <xdr:to>
      <xdr:col>3</xdr:col>
      <xdr:colOff>0</xdr:colOff>
      <xdr:row>10</xdr:row>
      <xdr:rowOff>165538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F9DFCB9-4535-4353-BA77-72171FB46DF6}"/>
            </a:ext>
          </a:extLst>
        </xdr:cNvPr>
        <xdr:cNvCxnSpPr/>
      </xdr:nvCxnSpPr>
      <xdr:spPr bwMode="auto">
        <a:xfrm>
          <a:off x="295604" y="2708713"/>
          <a:ext cx="316197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499243</xdr:colOff>
      <xdr:row>12</xdr:row>
      <xdr:rowOff>157655</xdr:rowOff>
    </xdr:from>
    <xdr:to>
      <xdr:col>3</xdr:col>
      <xdr:colOff>0</xdr:colOff>
      <xdr:row>12</xdr:row>
      <xdr:rowOff>158969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DD19640-CCAC-4521-BB0A-FAD15FB6EFCB}"/>
            </a:ext>
          </a:extLst>
        </xdr:cNvPr>
        <xdr:cNvCxnSpPr/>
      </xdr:nvCxnSpPr>
      <xdr:spPr bwMode="auto">
        <a:xfrm flipV="1">
          <a:off x="499243" y="3081830"/>
          <a:ext cx="2958332" cy="131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216776</xdr:colOff>
      <xdr:row>37</xdr:row>
      <xdr:rowOff>106417</xdr:rowOff>
    </xdr:from>
    <xdr:to>
      <xdr:col>1</xdr:col>
      <xdr:colOff>1005052</xdr:colOff>
      <xdr:row>37</xdr:row>
      <xdr:rowOff>106417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5A74CF5-297B-4DBD-93E8-918292F5E3CF}"/>
            </a:ext>
          </a:extLst>
        </xdr:cNvPr>
        <xdr:cNvCxnSpPr/>
      </xdr:nvCxnSpPr>
      <xdr:spPr bwMode="auto">
        <a:xfrm>
          <a:off x="216776" y="9221842"/>
          <a:ext cx="128357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262759</xdr:colOff>
      <xdr:row>38</xdr:row>
      <xdr:rowOff>170793</xdr:rowOff>
    </xdr:from>
    <xdr:to>
      <xdr:col>1</xdr:col>
      <xdr:colOff>959069</xdr:colOff>
      <xdr:row>38</xdr:row>
      <xdr:rowOff>170793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36F7B95-4C2B-462D-8D93-2A0069F72299}"/>
            </a:ext>
          </a:extLst>
        </xdr:cNvPr>
        <xdr:cNvCxnSpPr/>
      </xdr:nvCxnSpPr>
      <xdr:spPr bwMode="auto">
        <a:xfrm>
          <a:off x="262759" y="9448143"/>
          <a:ext cx="119161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367863</xdr:colOff>
      <xdr:row>37</xdr:row>
      <xdr:rowOff>99848</xdr:rowOff>
    </xdr:from>
    <xdr:to>
      <xdr:col>5</xdr:col>
      <xdr:colOff>223345</xdr:colOff>
      <xdr:row>37</xdr:row>
      <xdr:rowOff>99848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3295C64-9899-4049-9878-B4F6F1B5A616}"/>
            </a:ext>
          </a:extLst>
        </xdr:cNvPr>
        <xdr:cNvCxnSpPr/>
      </xdr:nvCxnSpPr>
      <xdr:spPr bwMode="auto">
        <a:xfrm>
          <a:off x="2072838" y="9215273"/>
          <a:ext cx="160808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387569</xdr:colOff>
      <xdr:row>39</xdr:row>
      <xdr:rowOff>6569</xdr:rowOff>
    </xdr:from>
    <xdr:to>
      <xdr:col>5</xdr:col>
      <xdr:colOff>227285</xdr:colOff>
      <xdr:row>39</xdr:row>
      <xdr:rowOff>6569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16F42C-408D-4268-870C-9CB307FB9D01}"/>
            </a:ext>
          </a:extLst>
        </xdr:cNvPr>
        <xdr:cNvCxnSpPr/>
      </xdr:nvCxnSpPr>
      <xdr:spPr bwMode="auto">
        <a:xfrm>
          <a:off x="2092544" y="9464894"/>
          <a:ext cx="159231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440121</xdr:colOff>
      <xdr:row>37</xdr:row>
      <xdr:rowOff>99848</xdr:rowOff>
    </xdr:from>
    <xdr:to>
      <xdr:col>7</xdr:col>
      <xdr:colOff>834258</xdr:colOff>
      <xdr:row>37</xdr:row>
      <xdr:rowOff>99848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B932CB0-0F8D-4F2E-8E8A-E1AB4D733F1A}"/>
            </a:ext>
          </a:extLst>
        </xdr:cNvPr>
        <xdr:cNvCxnSpPr/>
      </xdr:nvCxnSpPr>
      <xdr:spPr bwMode="auto">
        <a:xfrm>
          <a:off x="4526346" y="9215273"/>
          <a:ext cx="142283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472965</xdr:colOff>
      <xdr:row>39</xdr:row>
      <xdr:rowOff>1314</xdr:rowOff>
    </xdr:from>
    <xdr:to>
      <xdr:col>7</xdr:col>
      <xdr:colOff>814550</xdr:colOff>
      <xdr:row>39</xdr:row>
      <xdr:rowOff>1314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B3204CD-D3F3-4D6C-A653-9A2DF70AAB7D}"/>
            </a:ext>
          </a:extLst>
        </xdr:cNvPr>
        <xdr:cNvCxnSpPr/>
      </xdr:nvCxnSpPr>
      <xdr:spPr bwMode="auto">
        <a:xfrm>
          <a:off x="4559190" y="9459639"/>
          <a:ext cx="137028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157656</xdr:colOff>
      <xdr:row>8</xdr:row>
      <xdr:rowOff>137948</xdr:rowOff>
    </xdr:from>
    <xdr:to>
      <xdr:col>5</xdr:col>
      <xdr:colOff>13138</xdr:colOff>
      <xdr:row>8</xdr:row>
      <xdr:rowOff>137949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0E6E6A3-4236-4AF8-86D1-42E4048328E3}"/>
            </a:ext>
          </a:extLst>
        </xdr:cNvPr>
        <xdr:cNvCxnSpPr/>
      </xdr:nvCxnSpPr>
      <xdr:spPr bwMode="auto">
        <a:xfrm>
          <a:off x="157656" y="2328698"/>
          <a:ext cx="3313057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473764</xdr:colOff>
      <xdr:row>39</xdr:row>
      <xdr:rowOff>159935</xdr:rowOff>
    </xdr:from>
    <xdr:to>
      <xdr:col>1</xdr:col>
      <xdr:colOff>285750</xdr:colOff>
      <xdr:row>39</xdr:row>
      <xdr:rowOff>162486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8836E4D-CE8F-4E9C-A1B3-F33AFED9F555}"/>
            </a:ext>
          </a:extLst>
        </xdr:cNvPr>
        <xdr:cNvCxnSpPr/>
      </xdr:nvCxnSpPr>
      <xdr:spPr bwMode="auto">
        <a:xfrm>
          <a:off x="473764" y="9757773"/>
          <a:ext cx="305045" cy="25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388759</xdr:colOff>
      <xdr:row>39</xdr:row>
      <xdr:rowOff>166850</xdr:rowOff>
    </xdr:from>
    <xdr:to>
      <xdr:col>1</xdr:col>
      <xdr:colOff>722779</xdr:colOff>
      <xdr:row>39</xdr:row>
      <xdr:rowOff>168088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AF1462B-6D04-4921-924E-19D70A856F35}"/>
            </a:ext>
          </a:extLst>
        </xdr:cNvPr>
        <xdr:cNvCxnSpPr/>
      </xdr:nvCxnSpPr>
      <xdr:spPr bwMode="auto">
        <a:xfrm>
          <a:off x="881818" y="9764688"/>
          <a:ext cx="334020" cy="123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1385794</xdr:colOff>
      <xdr:row>39</xdr:row>
      <xdr:rowOff>160617</xdr:rowOff>
    </xdr:from>
    <xdr:to>
      <xdr:col>2</xdr:col>
      <xdr:colOff>1656106</xdr:colOff>
      <xdr:row>39</xdr:row>
      <xdr:rowOff>160617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B191BF8-9B78-4C0A-BB3F-23ADD93ED9ED}"/>
            </a:ext>
          </a:extLst>
        </xdr:cNvPr>
        <xdr:cNvCxnSpPr/>
      </xdr:nvCxnSpPr>
      <xdr:spPr bwMode="auto">
        <a:xfrm>
          <a:off x="3089088" y="9758455"/>
          <a:ext cx="27031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762000</xdr:colOff>
      <xdr:row>39</xdr:row>
      <xdr:rowOff>164353</xdr:rowOff>
    </xdr:from>
    <xdr:to>
      <xdr:col>7</xdr:col>
      <xdr:colOff>21767</xdr:colOff>
      <xdr:row>39</xdr:row>
      <xdr:rowOff>164353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4FEA200-48A5-4303-A2D6-432B2D8D7178}"/>
            </a:ext>
          </a:extLst>
        </xdr:cNvPr>
        <xdr:cNvCxnSpPr/>
      </xdr:nvCxnSpPr>
      <xdr:spPr bwMode="auto">
        <a:xfrm>
          <a:off x="4848225" y="9622678"/>
          <a:ext cx="28846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225985</xdr:colOff>
      <xdr:row>39</xdr:row>
      <xdr:rowOff>164353</xdr:rowOff>
    </xdr:from>
    <xdr:to>
      <xdr:col>7</xdr:col>
      <xdr:colOff>666105</xdr:colOff>
      <xdr:row>39</xdr:row>
      <xdr:rowOff>164353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B6AD425-9E59-44A2-8B5F-13CCE33A90CF}"/>
            </a:ext>
          </a:extLst>
        </xdr:cNvPr>
        <xdr:cNvCxnSpPr/>
      </xdr:nvCxnSpPr>
      <xdr:spPr bwMode="auto">
        <a:xfrm>
          <a:off x="5341470" y="9762191"/>
          <a:ext cx="44012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823632</xdr:colOff>
      <xdr:row>39</xdr:row>
      <xdr:rowOff>162486</xdr:rowOff>
    </xdr:from>
    <xdr:to>
      <xdr:col>2</xdr:col>
      <xdr:colOff>1128677</xdr:colOff>
      <xdr:row>39</xdr:row>
      <xdr:rowOff>165037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A16AE11-95F2-46EF-9620-0E2A36B8BECF}"/>
            </a:ext>
          </a:extLst>
        </xdr:cNvPr>
        <xdr:cNvCxnSpPr/>
      </xdr:nvCxnSpPr>
      <xdr:spPr bwMode="auto">
        <a:xfrm>
          <a:off x="2526926" y="9760324"/>
          <a:ext cx="305045" cy="25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986986</xdr:colOff>
      <xdr:row>0</xdr:row>
      <xdr:rowOff>65690</xdr:rowOff>
    </xdr:from>
    <xdr:to>
      <xdr:col>5</xdr:col>
      <xdr:colOff>133953</xdr:colOff>
      <xdr:row>1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CB100-231A-4179-B4D9-EA2B81DA95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961" y="65690"/>
          <a:ext cx="899567" cy="613212"/>
        </a:xfrm>
        <a:prstGeom prst="rect">
          <a:avLst/>
        </a:prstGeom>
      </xdr:spPr>
    </xdr:pic>
    <xdr:clientData/>
  </xdr:twoCellAnchor>
  <xdr:twoCellAnchor>
    <xdr:from>
      <xdr:col>0</xdr:col>
      <xdr:colOff>486104</xdr:colOff>
      <xdr:row>9</xdr:row>
      <xdr:rowOff>164224</xdr:rowOff>
    </xdr:from>
    <xdr:to>
      <xdr:col>3</xdr:col>
      <xdr:colOff>0</xdr:colOff>
      <xdr:row>9</xdr:row>
      <xdr:rowOff>164224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992975-DEF6-47C1-A330-0518106170CC}"/>
            </a:ext>
          </a:extLst>
        </xdr:cNvPr>
        <xdr:cNvCxnSpPr/>
      </xdr:nvCxnSpPr>
      <xdr:spPr bwMode="auto">
        <a:xfrm>
          <a:off x="486104" y="2516899"/>
          <a:ext cx="297147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32846</xdr:colOff>
      <xdr:row>11</xdr:row>
      <xdr:rowOff>165538</xdr:rowOff>
    </xdr:from>
    <xdr:to>
      <xdr:col>3</xdr:col>
      <xdr:colOff>0</xdr:colOff>
      <xdr:row>11</xdr:row>
      <xdr:rowOff>165538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20FD119-F6CF-454F-8BA7-5976FBA0B59C}"/>
            </a:ext>
          </a:extLst>
        </xdr:cNvPr>
        <xdr:cNvCxnSpPr/>
      </xdr:nvCxnSpPr>
      <xdr:spPr bwMode="auto">
        <a:xfrm>
          <a:off x="32846" y="2899213"/>
          <a:ext cx="342472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295604</xdr:colOff>
      <xdr:row>10</xdr:row>
      <xdr:rowOff>165538</xdr:rowOff>
    </xdr:from>
    <xdr:to>
      <xdr:col>3</xdr:col>
      <xdr:colOff>0</xdr:colOff>
      <xdr:row>10</xdr:row>
      <xdr:rowOff>165538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412EF8D-BA14-4DB1-8DC1-B126A200B326}"/>
            </a:ext>
          </a:extLst>
        </xdr:cNvPr>
        <xdr:cNvCxnSpPr/>
      </xdr:nvCxnSpPr>
      <xdr:spPr bwMode="auto">
        <a:xfrm>
          <a:off x="295604" y="2708713"/>
          <a:ext cx="316197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499243</xdr:colOff>
      <xdr:row>12</xdr:row>
      <xdr:rowOff>157655</xdr:rowOff>
    </xdr:from>
    <xdr:to>
      <xdr:col>3</xdr:col>
      <xdr:colOff>0</xdr:colOff>
      <xdr:row>12</xdr:row>
      <xdr:rowOff>158969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0494283-5447-440D-A414-C0B226369B37}"/>
            </a:ext>
          </a:extLst>
        </xdr:cNvPr>
        <xdr:cNvCxnSpPr/>
      </xdr:nvCxnSpPr>
      <xdr:spPr bwMode="auto">
        <a:xfrm flipV="1">
          <a:off x="499243" y="3081830"/>
          <a:ext cx="2958332" cy="131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216776</xdr:colOff>
      <xdr:row>37</xdr:row>
      <xdr:rowOff>106417</xdr:rowOff>
    </xdr:from>
    <xdr:to>
      <xdr:col>1</xdr:col>
      <xdr:colOff>1005052</xdr:colOff>
      <xdr:row>37</xdr:row>
      <xdr:rowOff>106417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3A1EC2D-C856-4E93-A361-0ED258F5F8D3}"/>
            </a:ext>
          </a:extLst>
        </xdr:cNvPr>
        <xdr:cNvCxnSpPr/>
      </xdr:nvCxnSpPr>
      <xdr:spPr bwMode="auto">
        <a:xfrm>
          <a:off x="216776" y="9355192"/>
          <a:ext cx="128357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262759</xdr:colOff>
      <xdr:row>38</xdr:row>
      <xdr:rowOff>170793</xdr:rowOff>
    </xdr:from>
    <xdr:to>
      <xdr:col>1</xdr:col>
      <xdr:colOff>959069</xdr:colOff>
      <xdr:row>38</xdr:row>
      <xdr:rowOff>170793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EB6B744-A9CC-4D3B-BB8F-1F4DEA3032ED}"/>
            </a:ext>
          </a:extLst>
        </xdr:cNvPr>
        <xdr:cNvCxnSpPr/>
      </xdr:nvCxnSpPr>
      <xdr:spPr bwMode="auto">
        <a:xfrm>
          <a:off x="262759" y="9581493"/>
          <a:ext cx="119161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367863</xdr:colOff>
      <xdr:row>37</xdr:row>
      <xdr:rowOff>99848</xdr:rowOff>
    </xdr:from>
    <xdr:to>
      <xdr:col>5</xdr:col>
      <xdr:colOff>223345</xdr:colOff>
      <xdr:row>37</xdr:row>
      <xdr:rowOff>99848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E3DF524-7B92-45E9-90F5-DAAD1A363F4A}"/>
            </a:ext>
          </a:extLst>
        </xdr:cNvPr>
        <xdr:cNvCxnSpPr/>
      </xdr:nvCxnSpPr>
      <xdr:spPr bwMode="auto">
        <a:xfrm>
          <a:off x="2072838" y="9348623"/>
          <a:ext cx="160808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387569</xdr:colOff>
      <xdr:row>39</xdr:row>
      <xdr:rowOff>6569</xdr:rowOff>
    </xdr:from>
    <xdr:to>
      <xdr:col>5</xdr:col>
      <xdr:colOff>227285</xdr:colOff>
      <xdr:row>39</xdr:row>
      <xdr:rowOff>6569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3736AA6-14BA-4DB6-9E71-10C2B88D9E98}"/>
            </a:ext>
          </a:extLst>
        </xdr:cNvPr>
        <xdr:cNvCxnSpPr/>
      </xdr:nvCxnSpPr>
      <xdr:spPr bwMode="auto">
        <a:xfrm>
          <a:off x="2092544" y="9598244"/>
          <a:ext cx="159231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440121</xdr:colOff>
      <xdr:row>37</xdr:row>
      <xdr:rowOff>99848</xdr:rowOff>
    </xdr:from>
    <xdr:to>
      <xdr:col>7</xdr:col>
      <xdr:colOff>834258</xdr:colOff>
      <xdr:row>37</xdr:row>
      <xdr:rowOff>99848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8B9AB9A-A549-46D9-81E1-A14EA38E5B2D}"/>
            </a:ext>
          </a:extLst>
        </xdr:cNvPr>
        <xdr:cNvCxnSpPr/>
      </xdr:nvCxnSpPr>
      <xdr:spPr bwMode="auto">
        <a:xfrm>
          <a:off x="4526346" y="9348623"/>
          <a:ext cx="142283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472965</xdr:colOff>
      <xdr:row>39</xdr:row>
      <xdr:rowOff>1314</xdr:rowOff>
    </xdr:from>
    <xdr:to>
      <xdr:col>7</xdr:col>
      <xdr:colOff>814550</xdr:colOff>
      <xdr:row>39</xdr:row>
      <xdr:rowOff>1314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CCF1663-ADE0-4DEB-8FC3-932820BF61A7}"/>
            </a:ext>
          </a:extLst>
        </xdr:cNvPr>
        <xdr:cNvCxnSpPr/>
      </xdr:nvCxnSpPr>
      <xdr:spPr bwMode="auto">
        <a:xfrm>
          <a:off x="4559190" y="9592989"/>
          <a:ext cx="137028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157656</xdr:colOff>
      <xdr:row>8</xdr:row>
      <xdr:rowOff>137948</xdr:rowOff>
    </xdr:from>
    <xdr:to>
      <xdr:col>5</xdr:col>
      <xdr:colOff>13138</xdr:colOff>
      <xdr:row>8</xdr:row>
      <xdr:rowOff>137949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061346F-19F3-46B9-B022-89EF82DB7E2E}"/>
            </a:ext>
          </a:extLst>
        </xdr:cNvPr>
        <xdr:cNvCxnSpPr/>
      </xdr:nvCxnSpPr>
      <xdr:spPr bwMode="auto">
        <a:xfrm>
          <a:off x="157656" y="2328698"/>
          <a:ext cx="3313057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473764</xdr:colOff>
      <xdr:row>39</xdr:row>
      <xdr:rowOff>159935</xdr:rowOff>
    </xdr:from>
    <xdr:to>
      <xdr:col>1</xdr:col>
      <xdr:colOff>285750</xdr:colOff>
      <xdr:row>39</xdr:row>
      <xdr:rowOff>162486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4D093F6-7D64-4908-A526-9A1BD50E217B}"/>
            </a:ext>
          </a:extLst>
        </xdr:cNvPr>
        <xdr:cNvCxnSpPr/>
      </xdr:nvCxnSpPr>
      <xdr:spPr bwMode="auto">
        <a:xfrm>
          <a:off x="473764" y="9751610"/>
          <a:ext cx="307286" cy="25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388759</xdr:colOff>
      <xdr:row>39</xdr:row>
      <xdr:rowOff>166850</xdr:rowOff>
    </xdr:from>
    <xdr:to>
      <xdr:col>1</xdr:col>
      <xdr:colOff>722779</xdr:colOff>
      <xdr:row>39</xdr:row>
      <xdr:rowOff>168088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04D1237-480E-454F-A03C-C67D6CFEA76A}"/>
            </a:ext>
          </a:extLst>
        </xdr:cNvPr>
        <xdr:cNvCxnSpPr/>
      </xdr:nvCxnSpPr>
      <xdr:spPr bwMode="auto">
        <a:xfrm>
          <a:off x="884059" y="9758525"/>
          <a:ext cx="334020" cy="123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1385794</xdr:colOff>
      <xdr:row>39</xdr:row>
      <xdr:rowOff>160617</xdr:rowOff>
    </xdr:from>
    <xdr:to>
      <xdr:col>2</xdr:col>
      <xdr:colOff>1656106</xdr:colOff>
      <xdr:row>39</xdr:row>
      <xdr:rowOff>160617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9E803EC-E118-4CF7-9EC4-88E239E16FC5}"/>
            </a:ext>
          </a:extLst>
        </xdr:cNvPr>
        <xdr:cNvCxnSpPr/>
      </xdr:nvCxnSpPr>
      <xdr:spPr bwMode="auto">
        <a:xfrm>
          <a:off x="3090769" y="9752292"/>
          <a:ext cx="27031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868457</xdr:colOff>
      <xdr:row>39</xdr:row>
      <xdr:rowOff>164353</xdr:rowOff>
    </xdr:from>
    <xdr:to>
      <xdr:col>7</xdr:col>
      <xdr:colOff>128224</xdr:colOff>
      <xdr:row>39</xdr:row>
      <xdr:rowOff>164353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EBABE9C-F9A4-4C36-92E5-F28DD8D98BA2}"/>
            </a:ext>
          </a:extLst>
        </xdr:cNvPr>
        <xdr:cNvCxnSpPr/>
      </xdr:nvCxnSpPr>
      <xdr:spPr bwMode="auto">
        <a:xfrm>
          <a:off x="4953001" y="9779000"/>
          <a:ext cx="290708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270809</xdr:colOff>
      <xdr:row>39</xdr:row>
      <xdr:rowOff>164353</xdr:rowOff>
    </xdr:from>
    <xdr:to>
      <xdr:col>7</xdr:col>
      <xdr:colOff>710929</xdr:colOff>
      <xdr:row>39</xdr:row>
      <xdr:rowOff>164353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B25B029-82A9-4068-B7B7-C074A36D8C03}"/>
            </a:ext>
          </a:extLst>
        </xdr:cNvPr>
        <xdr:cNvCxnSpPr/>
      </xdr:nvCxnSpPr>
      <xdr:spPr bwMode="auto">
        <a:xfrm>
          <a:off x="5386294" y="9779000"/>
          <a:ext cx="44012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823632</xdr:colOff>
      <xdr:row>39</xdr:row>
      <xdr:rowOff>162486</xdr:rowOff>
    </xdr:from>
    <xdr:to>
      <xdr:col>2</xdr:col>
      <xdr:colOff>1128677</xdr:colOff>
      <xdr:row>39</xdr:row>
      <xdr:rowOff>165037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4C054C4-AEDF-4149-9DA6-FCA58F6A7C57}"/>
            </a:ext>
          </a:extLst>
        </xdr:cNvPr>
        <xdr:cNvCxnSpPr/>
      </xdr:nvCxnSpPr>
      <xdr:spPr bwMode="auto">
        <a:xfrm>
          <a:off x="2528607" y="9754161"/>
          <a:ext cx="305045" cy="25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986986</xdr:colOff>
      <xdr:row>0</xdr:row>
      <xdr:rowOff>65690</xdr:rowOff>
    </xdr:from>
    <xdr:to>
      <xdr:col>5</xdr:col>
      <xdr:colOff>133952</xdr:colOff>
      <xdr:row>1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3D15A-BB08-0A4A-BDC6-D5E78928EB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786" y="65690"/>
          <a:ext cx="1153567" cy="610037"/>
        </a:xfrm>
        <a:prstGeom prst="rect">
          <a:avLst/>
        </a:prstGeom>
      </xdr:spPr>
    </xdr:pic>
    <xdr:clientData/>
  </xdr:twoCellAnchor>
  <xdr:twoCellAnchor>
    <xdr:from>
      <xdr:col>0</xdr:col>
      <xdr:colOff>486104</xdr:colOff>
      <xdr:row>9</xdr:row>
      <xdr:rowOff>164224</xdr:rowOff>
    </xdr:from>
    <xdr:to>
      <xdr:col>3</xdr:col>
      <xdr:colOff>0</xdr:colOff>
      <xdr:row>9</xdr:row>
      <xdr:rowOff>164224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5B7EE8-9C6E-2D48-B97D-C974C2548BC2}"/>
            </a:ext>
          </a:extLst>
        </xdr:cNvPr>
        <xdr:cNvCxnSpPr/>
      </xdr:nvCxnSpPr>
      <xdr:spPr bwMode="auto">
        <a:xfrm>
          <a:off x="486104" y="2335924"/>
          <a:ext cx="347629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32846</xdr:colOff>
      <xdr:row>11</xdr:row>
      <xdr:rowOff>165538</xdr:rowOff>
    </xdr:from>
    <xdr:to>
      <xdr:col>3</xdr:col>
      <xdr:colOff>0</xdr:colOff>
      <xdr:row>11</xdr:row>
      <xdr:rowOff>165538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C75286B-6BE0-EE4D-BA75-8419DE4E9007}"/>
            </a:ext>
          </a:extLst>
        </xdr:cNvPr>
        <xdr:cNvCxnSpPr/>
      </xdr:nvCxnSpPr>
      <xdr:spPr bwMode="auto">
        <a:xfrm>
          <a:off x="32846" y="2718238"/>
          <a:ext cx="3929554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295604</xdr:colOff>
      <xdr:row>10</xdr:row>
      <xdr:rowOff>165538</xdr:rowOff>
    </xdr:from>
    <xdr:to>
      <xdr:col>3</xdr:col>
      <xdr:colOff>0</xdr:colOff>
      <xdr:row>10</xdr:row>
      <xdr:rowOff>165538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791AF45-BF73-5548-BACB-B8369666EEC7}"/>
            </a:ext>
          </a:extLst>
        </xdr:cNvPr>
        <xdr:cNvCxnSpPr/>
      </xdr:nvCxnSpPr>
      <xdr:spPr bwMode="auto">
        <a:xfrm>
          <a:off x="295604" y="2527738"/>
          <a:ext cx="366679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499243</xdr:colOff>
      <xdr:row>12</xdr:row>
      <xdr:rowOff>157655</xdr:rowOff>
    </xdr:from>
    <xdr:to>
      <xdr:col>3</xdr:col>
      <xdr:colOff>0</xdr:colOff>
      <xdr:row>12</xdr:row>
      <xdr:rowOff>158969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00B8968-3280-2149-9ECF-38FF3BA6487C}"/>
            </a:ext>
          </a:extLst>
        </xdr:cNvPr>
        <xdr:cNvCxnSpPr/>
      </xdr:nvCxnSpPr>
      <xdr:spPr bwMode="auto">
        <a:xfrm flipV="1">
          <a:off x="499243" y="2900855"/>
          <a:ext cx="3463157" cy="131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216776</xdr:colOff>
      <xdr:row>37</xdr:row>
      <xdr:rowOff>106417</xdr:rowOff>
    </xdr:from>
    <xdr:to>
      <xdr:col>1</xdr:col>
      <xdr:colOff>1005052</xdr:colOff>
      <xdr:row>37</xdr:row>
      <xdr:rowOff>106417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6F8A62C-61A3-FD42-9F6D-A91982E1DF0C}"/>
            </a:ext>
          </a:extLst>
        </xdr:cNvPr>
        <xdr:cNvCxnSpPr/>
      </xdr:nvCxnSpPr>
      <xdr:spPr bwMode="auto">
        <a:xfrm>
          <a:off x="216776" y="9136117"/>
          <a:ext cx="135977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262759</xdr:colOff>
      <xdr:row>38</xdr:row>
      <xdr:rowOff>170793</xdr:rowOff>
    </xdr:from>
    <xdr:to>
      <xdr:col>1</xdr:col>
      <xdr:colOff>959069</xdr:colOff>
      <xdr:row>38</xdr:row>
      <xdr:rowOff>170793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DA1971A-6A89-9345-BD48-D07D8650B0F0}"/>
            </a:ext>
          </a:extLst>
        </xdr:cNvPr>
        <xdr:cNvCxnSpPr/>
      </xdr:nvCxnSpPr>
      <xdr:spPr bwMode="auto">
        <a:xfrm>
          <a:off x="262759" y="9365593"/>
          <a:ext cx="126781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367863</xdr:colOff>
      <xdr:row>37</xdr:row>
      <xdr:rowOff>99848</xdr:rowOff>
    </xdr:from>
    <xdr:to>
      <xdr:col>5</xdr:col>
      <xdr:colOff>223345</xdr:colOff>
      <xdr:row>37</xdr:row>
      <xdr:rowOff>99848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42B43FD-B06E-6143-830D-17E0399CCECB}"/>
            </a:ext>
          </a:extLst>
        </xdr:cNvPr>
        <xdr:cNvCxnSpPr/>
      </xdr:nvCxnSpPr>
      <xdr:spPr bwMode="auto">
        <a:xfrm>
          <a:off x="2323663" y="9129548"/>
          <a:ext cx="186208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387569</xdr:colOff>
      <xdr:row>39</xdr:row>
      <xdr:rowOff>6569</xdr:rowOff>
    </xdr:from>
    <xdr:to>
      <xdr:col>5</xdr:col>
      <xdr:colOff>227285</xdr:colOff>
      <xdr:row>39</xdr:row>
      <xdr:rowOff>6569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5E67F0A-0F15-1E41-9B82-280F2A104899}"/>
            </a:ext>
          </a:extLst>
        </xdr:cNvPr>
        <xdr:cNvCxnSpPr/>
      </xdr:nvCxnSpPr>
      <xdr:spPr bwMode="auto">
        <a:xfrm>
          <a:off x="2343369" y="9379169"/>
          <a:ext cx="184631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440121</xdr:colOff>
      <xdr:row>37</xdr:row>
      <xdr:rowOff>99848</xdr:rowOff>
    </xdr:from>
    <xdr:to>
      <xdr:col>7</xdr:col>
      <xdr:colOff>834258</xdr:colOff>
      <xdr:row>37</xdr:row>
      <xdr:rowOff>99848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331CB94-DF43-5345-AED0-F8AC3E015427}"/>
            </a:ext>
          </a:extLst>
        </xdr:cNvPr>
        <xdr:cNvCxnSpPr/>
      </xdr:nvCxnSpPr>
      <xdr:spPr bwMode="auto">
        <a:xfrm>
          <a:off x="5126421" y="9129548"/>
          <a:ext cx="157523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472965</xdr:colOff>
      <xdr:row>39</xdr:row>
      <xdr:rowOff>1314</xdr:rowOff>
    </xdr:from>
    <xdr:to>
      <xdr:col>7</xdr:col>
      <xdr:colOff>814550</xdr:colOff>
      <xdr:row>39</xdr:row>
      <xdr:rowOff>1314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6CE845B-8CB5-9345-9DB4-3A14536F4DA6}"/>
            </a:ext>
          </a:extLst>
        </xdr:cNvPr>
        <xdr:cNvCxnSpPr/>
      </xdr:nvCxnSpPr>
      <xdr:spPr bwMode="auto">
        <a:xfrm>
          <a:off x="5159265" y="9373914"/>
          <a:ext cx="152268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157656</xdr:colOff>
      <xdr:row>8</xdr:row>
      <xdr:rowOff>137948</xdr:rowOff>
    </xdr:from>
    <xdr:to>
      <xdr:col>5</xdr:col>
      <xdr:colOff>13138</xdr:colOff>
      <xdr:row>8</xdr:row>
      <xdr:rowOff>137949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ABAC4F8-D711-674F-A216-93101BA5501B}"/>
            </a:ext>
          </a:extLst>
        </xdr:cNvPr>
        <xdr:cNvCxnSpPr/>
      </xdr:nvCxnSpPr>
      <xdr:spPr bwMode="auto">
        <a:xfrm>
          <a:off x="157656" y="2171700"/>
          <a:ext cx="381788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CFBE-19E6-4517-AF48-B0866D8C3BED}">
  <sheetPr>
    <tabColor theme="7"/>
    <pageSetUpPr fitToPage="1"/>
  </sheetPr>
  <dimension ref="A1:M40"/>
  <sheetViews>
    <sheetView showGridLines="0" zoomScale="170" zoomScaleNormal="170" workbookViewId="0">
      <selection activeCell="H5" sqref="H5"/>
    </sheetView>
  </sheetViews>
  <sheetFormatPr defaultColWidth="8.7109375" defaultRowHeight="12.75" x14ac:dyDescent="0.2"/>
  <cols>
    <col min="1" max="1" width="7.42578125" customWidth="1"/>
    <col min="2" max="2" width="18.140625" customWidth="1"/>
    <col min="3" max="3" width="26.28515625" customWidth="1"/>
    <col min="4" max="4" width="4.7109375" hidden="1" customWidth="1"/>
    <col min="5" max="5" width="0.28515625" hidden="1" customWidth="1"/>
    <col min="6" max="6" width="9.42578125" customWidth="1"/>
    <col min="7" max="7" width="15.42578125" customWidth="1"/>
    <col min="8" max="8" width="19.28515625" customWidth="1"/>
    <col min="9" max="10" width="0" hidden="1" customWidth="1"/>
    <col min="12" max="12" width="9.140625" bestFit="1" customWidth="1"/>
    <col min="13" max="13" width="11.140625" bestFit="1" customWidth="1"/>
  </cols>
  <sheetData>
    <row r="1" spans="1:8" ht="47.25" customHeight="1" x14ac:dyDescent="0.2"/>
    <row r="2" spans="1:8" ht="47.25" customHeight="1" x14ac:dyDescent="0.2">
      <c r="A2" s="91" t="s">
        <v>0</v>
      </c>
      <c r="B2" s="91"/>
      <c r="C2" s="91"/>
      <c r="D2" s="91"/>
      <c r="E2" s="91"/>
      <c r="F2" s="91"/>
      <c r="G2" s="91"/>
      <c r="H2" s="91"/>
    </row>
    <row r="3" spans="1:8" ht="18.75" customHeight="1" x14ac:dyDescent="0.8">
      <c r="A3" s="92" t="s">
        <v>1</v>
      </c>
      <c r="B3" s="92"/>
      <c r="C3" s="92"/>
      <c r="D3" s="1"/>
      <c r="H3" s="2"/>
    </row>
    <row r="4" spans="1:8" ht="12.75" customHeight="1" x14ac:dyDescent="0.2">
      <c r="A4" s="76" t="s">
        <v>2</v>
      </c>
      <c r="B4" s="3"/>
      <c r="C4" s="1"/>
      <c r="D4" s="1"/>
      <c r="E4" s="4" t="s">
        <v>3</v>
      </c>
      <c r="F4" s="4"/>
      <c r="G4" s="4" t="s">
        <v>4</v>
      </c>
      <c r="H4" s="5">
        <v>45181</v>
      </c>
    </row>
    <row r="5" spans="1:8" x14ac:dyDescent="0.2">
      <c r="A5" s="76" t="s">
        <v>57</v>
      </c>
      <c r="B5" s="6"/>
      <c r="C5" s="1"/>
      <c r="D5" s="1"/>
      <c r="E5" s="4" t="s">
        <v>5</v>
      </c>
      <c r="F5" s="4"/>
      <c r="G5" s="4" t="s">
        <v>6</v>
      </c>
      <c r="H5" s="7" t="s">
        <v>51</v>
      </c>
    </row>
    <row r="6" spans="1:8" x14ac:dyDescent="0.2">
      <c r="A6" s="76" t="s">
        <v>7</v>
      </c>
      <c r="B6" s="1"/>
      <c r="C6" s="1"/>
      <c r="D6" s="1"/>
      <c r="E6" s="4" t="s">
        <v>8</v>
      </c>
      <c r="F6" s="4"/>
      <c r="G6" s="4"/>
      <c r="H6" s="8"/>
    </row>
    <row r="7" spans="1:8" ht="8.25" customHeight="1" x14ac:dyDescent="0.2">
      <c r="A7" s="1"/>
      <c r="B7" s="1"/>
      <c r="C7" s="1"/>
      <c r="D7" s="1"/>
      <c r="E7" s="4"/>
      <c r="F7" s="4"/>
      <c r="G7" s="4"/>
      <c r="H7" s="8"/>
    </row>
    <row r="8" spans="1:8" x14ac:dyDescent="0.2">
      <c r="A8" s="9" t="s">
        <v>9</v>
      </c>
      <c r="B8" s="9"/>
      <c r="C8" s="1"/>
      <c r="D8" s="1"/>
      <c r="E8" s="10" t="s">
        <v>10</v>
      </c>
      <c r="F8" s="10"/>
      <c r="G8" s="10" t="s">
        <v>11</v>
      </c>
      <c r="H8" s="5">
        <v>45199</v>
      </c>
    </row>
    <row r="9" spans="1:8" x14ac:dyDescent="0.2">
      <c r="A9" s="1" t="s">
        <v>12</v>
      </c>
      <c r="B9" s="1"/>
      <c r="C9" s="1"/>
      <c r="D9" s="1"/>
      <c r="E9" s="10" t="s">
        <v>13</v>
      </c>
      <c r="F9" s="10"/>
      <c r="G9" s="10"/>
      <c r="H9" s="11"/>
    </row>
    <row r="10" spans="1:8" ht="15" customHeight="1" x14ac:dyDescent="0.2">
      <c r="A10" s="1" t="s">
        <v>14</v>
      </c>
      <c r="B10" s="1"/>
      <c r="C10" s="1"/>
      <c r="D10" s="1"/>
      <c r="E10" s="1"/>
      <c r="F10" s="1"/>
      <c r="G10" s="1"/>
      <c r="H10" s="1"/>
    </row>
    <row r="11" spans="1:8" ht="15" customHeight="1" x14ac:dyDescent="0.2">
      <c r="A11" s="1" t="s">
        <v>55</v>
      </c>
      <c r="B11" s="1"/>
      <c r="C11" s="1"/>
      <c r="D11" s="1"/>
      <c r="E11" s="1"/>
      <c r="F11" s="1"/>
      <c r="G11" s="1"/>
      <c r="H11" s="1"/>
    </row>
    <row r="12" spans="1:8" ht="15" customHeight="1" x14ac:dyDescent="0.2">
      <c r="A12" s="1" t="s">
        <v>56</v>
      </c>
      <c r="B12" s="1"/>
      <c r="C12" s="1"/>
      <c r="D12" s="1"/>
      <c r="E12" s="1"/>
      <c r="F12" s="1"/>
      <c r="G12" s="1"/>
      <c r="H12" s="1"/>
    </row>
    <row r="13" spans="1:8" ht="15" customHeight="1" x14ac:dyDescent="0.2">
      <c r="A13" s="1" t="s">
        <v>15</v>
      </c>
      <c r="B13" s="1" t="s">
        <v>16</v>
      </c>
      <c r="C13" s="1"/>
      <c r="D13" s="1"/>
      <c r="E13" s="1"/>
      <c r="F13" s="1"/>
      <c r="G13" s="1"/>
      <c r="H13" s="1"/>
    </row>
    <row r="14" spans="1:8" x14ac:dyDescent="0.2">
      <c r="A14" s="1" t="s">
        <v>17</v>
      </c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s="12" customFormat="1" ht="34.5" customHeight="1" x14ac:dyDescent="0.2">
      <c r="A16" s="69" t="s">
        <v>18</v>
      </c>
      <c r="B16" s="93" t="s">
        <v>19</v>
      </c>
      <c r="C16" s="94"/>
      <c r="D16" s="94"/>
      <c r="E16" s="95"/>
      <c r="F16" s="69" t="s">
        <v>20</v>
      </c>
      <c r="G16" s="70" t="s">
        <v>21</v>
      </c>
      <c r="H16" s="69" t="s">
        <v>22</v>
      </c>
    </row>
    <row r="17" spans="1:13" s="12" customFormat="1" ht="25.5" customHeight="1" x14ac:dyDescent="0.2">
      <c r="A17" s="13"/>
      <c r="B17" s="96" t="s">
        <v>59</v>
      </c>
      <c r="C17" s="97"/>
      <c r="D17" s="14"/>
      <c r="E17" s="15"/>
      <c r="F17" s="16">
        <v>8</v>
      </c>
      <c r="G17" s="17">
        <v>1755000</v>
      </c>
      <c r="H17" s="18">
        <f>F17*G17</f>
        <v>14040000</v>
      </c>
    </row>
    <row r="18" spans="1:13" s="12" customFormat="1" ht="20.25" customHeight="1" x14ac:dyDescent="0.2">
      <c r="A18" s="19">
        <v>1</v>
      </c>
      <c r="B18" s="89" t="s">
        <v>23</v>
      </c>
      <c r="C18" s="98"/>
      <c r="D18" s="20"/>
      <c r="E18" s="21"/>
      <c r="F18" s="22"/>
      <c r="G18" s="23"/>
      <c r="H18" s="24"/>
    </row>
    <row r="19" spans="1:13" s="12" customFormat="1" ht="20.25" customHeight="1" x14ac:dyDescent="0.2">
      <c r="A19" s="19">
        <v>2</v>
      </c>
      <c r="B19" s="89" t="s">
        <v>24</v>
      </c>
      <c r="C19" s="90"/>
      <c r="D19" s="20"/>
      <c r="E19" s="21"/>
      <c r="F19" s="22"/>
      <c r="G19" s="23"/>
      <c r="H19" s="24"/>
    </row>
    <row r="20" spans="1:13" s="12" customFormat="1" ht="20.25" customHeight="1" x14ac:dyDescent="0.2">
      <c r="A20" s="19">
        <v>3</v>
      </c>
      <c r="B20" s="106" t="s">
        <v>25</v>
      </c>
      <c r="C20" s="107"/>
      <c r="D20" s="20"/>
      <c r="E20" s="21"/>
      <c r="F20" s="22"/>
      <c r="G20" s="23"/>
      <c r="H20" s="24"/>
    </row>
    <row r="21" spans="1:13" s="12" customFormat="1" ht="20.25" customHeight="1" x14ac:dyDescent="0.2">
      <c r="A21" s="19">
        <v>4</v>
      </c>
      <c r="B21" s="25" t="s">
        <v>26</v>
      </c>
      <c r="C21" s="26"/>
      <c r="D21" s="20"/>
      <c r="E21" s="21"/>
      <c r="F21" s="22"/>
      <c r="G21" s="23"/>
      <c r="H21" s="24"/>
    </row>
    <row r="22" spans="1:13" s="12" customFormat="1" ht="20.25" customHeight="1" x14ac:dyDescent="0.2">
      <c r="A22" s="19">
        <v>5</v>
      </c>
      <c r="B22" s="25" t="s">
        <v>27</v>
      </c>
      <c r="C22" s="26"/>
      <c r="D22" s="20"/>
      <c r="E22" s="21"/>
      <c r="F22" s="22"/>
      <c r="G22" s="23"/>
      <c r="H22" s="24"/>
    </row>
    <row r="23" spans="1:13" s="12" customFormat="1" ht="20.25" customHeight="1" x14ac:dyDescent="0.2">
      <c r="A23" s="19">
        <v>6</v>
      </c>
      <c r="B23" s="25" t="s">
        <v>28</v>
      </c>
      <c r="C23" s="26"/>
      <c r="D23" s="20"/>
      <c r="E23" s="21"/>
      <c r="F23" s="22"/>
      <c r="G23" s="23"/>
      <c r="H23" s="24"/>
    </row>
    <row r="24" spans="1:13" s="12" customFormat="1" ht="20.25" customHeight="1" x14ac:dyDescent="0.2">
      <c r="A24" s="19">
        <v>7</v>
      </c>
      <c r="B24" s="25" t="s">
        <v>29</v>
      </c>
      <c r="C24" s="26"/>
      <c r="D24" s="20"/>
      <c r="E24" s="21"/>
      <c r="F24" s="22"/>
      <c r="G24" s="23"/>
      <c r="H24" s="24"/>
    </row>
    <row r="25" spans="1:13" s="12" customFormat="1" ht="20.25" customHeight="1" x14ac:dyDescent="0.2">
      <c r="A25" s="27"/>
      <c r="B25" s="28"/>
      <c r="C25" s="29"/>
      <c r="D25" s="30"/>
      <c r="E25" s="31"/>
      <c r="F25" s="32"/>
      <c r="G25" s="31"/>
      <c r="H25" s="33"/>
    </row>
    <row r="26" spans="1:13" s="12" customFormat="1" ht="19.149999999999999" customHeight="1" x14ac:dyDescent="0.2">
      <c r="A26" s="34" t="s">
        <v>30</v>
      </c>
      <c r="B26" s="72" t="s">
        <v>31</v>
      </c>
      <c r="C26" s="73"/>
      <c r="D26" s="35"/>
      <c r="E26" s="36" t="s">
        <v>32</v>
      </c>
      <c r="F26" s="108" t="s">
        <v>33</v>
      </c>
      <c r="G26" s="109"/>
      <c r="H26" s="37">
        <f>H17</f>
        <v>14040000</v>
      </c>
      <c r="M26" s="38"/>
    </row>
    <row r="27" spans="1:13" s="12" customFormat="1" ht="20.25" customHeight="1" x14ac:dyDescent="0.2">
      <c r="A27" s="39"/>
      <c r="B27" s="115" t="s">
        <v>50</v>
      </c>
      <c r="C27" s="116"/>
      <c r="D27" s="35"/>
      <c r="E27" s="36"/>
      <c r="F27" s="108" t="s">
        <v>34</v>
      </c>
      <c r="G27" s="109"/>
      <c r="H27" s="37">
        <v>0</v>
      </c>
    </row>
    <row r="28" spans="1:13" s="12" customFormat="1" ht="19.149999999999999" customHeight="1" x14ac:dyDescent="0.2">
      <c r="A28" s="39"/>
      <c r="B28" s="74" t="s">
        <v>49</v>
      </c>
      <c r="C28" s="75"/>
      <c r="D28" s="35"/>
      <c r="E28" s="36"/>
      <c r="F28" s="108" t="s">
        <v>35</v>
      </c>
      <c r="G28" s="109"/>
      <c r="H28" s="37">
        <f>H26-H27</f>
        <v>14040000</v>
      </c>
    </row>
    <row r="29" spans="1:13" s="12" customFormat="1" ht="19.149999999999999" customHeight="1" x14ac:dyDescent="0.2">
      <c r="A29" s="39"/>
      <c r="B29" s="40"/>
      <c r="C29" s="41"/>
      <c r="D29" s="35"/>
      <c r="E29" s="36" t="s">
        <v>36</v>
      </c>
      <c r="F29" s="110" t="s">
        <v>37</v>
      </c>
      <c r="G29" s="111"/>
      <c r="H29" s="37">
        <f>H28*7%</f>
        <v>982800.00000000012</v>
      </c>
    </row>
    <row r="30" spans="1:13" s="12" customFormat="1" ht="19.149999999999999" customHeight="1" x14ac:dyDescent="0.2">
      <c r="A30" s="39"/>
      <c r="B30" s="40"/>
      <c r="C30" s="41"/>
      <c r="D30" s="35"/>
      <c r="E30" s="36"/>
      <c r="F30" s="42" t="s">
        <v>38</v>
      </c>
      <c r="G30" s="43"/>
      <c r="H30" s="71">
        <f>H28+H29</f>
        <v>15022800</v>
      </c>
    </row>
    <row r="31" spans="1:13" s="12" customFormat="1" ht="15.75" customHeight="1" x14ac:dyDescent="0.2">
      <c r="A31" s="44"/>
      <c r="B31" s="45"/>
      <c r="C31" s="46"/>
      <c r="D31" s="47"/>
      <c r="E31" s="47"/>
      <c r="F31" s="112" t="str">
        <f>"("&amp;(BAHTTEXT(H30)&amp;")")</f>
        <v>(สิบห้าล้านสองหมื่นสองพันแปดร้อยบาทถ้วน)</v>
      </c>
      <c r="G31" s="113"/>
      <c r="H31" s="114"/>
    </row>
    <row r="32" spans="1:13" ht="8.25" customHeight="1" x14ac:dyDescent="0.2">
      <c r="A32" s="1"/>
      <c r="B32" s="1"/>
      <c r="C32" s="1"/>
      <c r="D32" s="1"/>
      <c r="E32" s="1"/>
      <c r="F32" s="48"/>
      <c r="G32" s="48"/>
      <c r="H32" s="48"/>
    </row>
    <row r="33" spans="1:10" ht="14.25" customHeight="1" x14ac:dyDescent="0.2">
      <c r="A33" s="49" t="s">
        <v>58</v>
      </c>
      <c r="B33" s="50"/>
      <c r="C33" s="50"/>
      <c r="D33" s="50"/>
      <c r="E33" s="50"/>
      <c r="F33" s="50"/>
      <c r="G33" s="50"/>
      <c r="H33" s="51"/>
    </row>
    <row r="34" spans="1:10" x14ac:dyDescent="0.2">
      <c r="A34" s="52" t="s">
        <v>39</v>
      </c>
      <c r="B34" s="1"/>
      <c r="C34" s="1"/>
      <c r="D34" s="1"/>
      <c r="E34" s="1"/>
      <c r="F34" s="1"/>
      <c r="G34" s="1"/>
      <c r="H34" s="53"/>
    </row>
    <row r="35" spans="1:10" x14ac:dyDescent="0.2">
      <c r="A35" s="54"/>
      <c r="B35" s="55"/>
      <c r="C35" s="55"/>
      <c r="D35" s="55"/>
      <c r="E35" s="55"/>
      <c r="F35" s="55"/>
      <c r="G35" s="55"/>
      <c r="H35" s="56"/>
    </row>
    <row r="36" spans="1:10" ht="16.5" customHeight="1" x14ac:dyDescent="0.2">
      <c r="A36" s="125" t="s">
        <v>40</v>
      </c>
      <c r="B36" s="126"/>
      <c r="C36" s="99" t="s">
        <v>41</v>
      </c>
      <c r="D36" s="127"/>
      <c r="E36" s="127"/>
      <c r="F36" s="100"/>
      <c r="G36" s="99" t="s">
        <v>42</v>
      </c>
      <c r="H36" s="100"/>
      <c r="I36" s="57"/>
      <c r="J36" s="58"/>
    </row>
    <row r="37" spans="1:10" ht="60" customHeight="1" x14ac:dyDescent="0.2">
      <c r="A37" s="101" t="s">
        <v>43</v>
      </c>
      <c r="B37" s="102"/>
      <c r="C37" s="103" t="s">
        <v>44</v>
      </c>
      <c r="D37" s="104"/>
      <c r="E37" s="104"/>
      <c r="F37" s="105"/>
      <c r="G37" s="103" t="s">
        <v>45</v>
      </c>
      <c r="H37" s="105"/>
      <c r="J37" s="59"/>
    </row>
    <row r="38" spans="1:10" x14ac:dyDescent="0.2">
      <c r="A38" s="60"/>
      <c r="B38" s="61"/>
      <c r="C38" s="62"/>
      <c r="F38" s="59"/>
      <c r="G38" s="62"/>
      <c r="H38" s="59"/>
      <c r="J38" s="59"/>
    </row>
    <row r="39" spans="1:10" ht="14.25" x14ac:dyDescent="0.2">
      <c r="A39" s="117"/>
      <c r="B39" s="118"/>
      <c r="C39" s="119" t="s">
        <v>46</v>
      </c>
      <c r="D39" s="120"/>
      <c r="E39" s="120"/>
      <c r="F39" s="121"/>
      <c r="G39" s="39" t="s">
        <v>47</v>
      </c>
      <c r="H39" s="63"/>
      <c r="I39" s="1"/>
      <c r="J39" s="53"/>
    </row>
    <row r="40" spans="1:10" ht="17.25" customHeight="1" x14ac:dyDescent="0.2">
      <c r="A40" s="64" t="s">
        <v>48</v>
      </c>
      <c r="B40" s="65" t="s">
        <v>52</v>
      </c>
      <c r="C40" s="122" t="s">
        <v>53</v>
      </c>
      <c r="D40" s="123"/>
      <c r="E40" s="123"/>
      <c r="F40" s="124"/>
      <c r="G40" s="66" t="s">
        <v>54</v>
      </c>
      <c r="H40" s="67"/>
      <c r="I40" s="68"/>
      <c r="J40" s="67"/>
    </row>
  </sheetData>
  <mergeCells count="22">
    <mergeCell ref="A39:B39"/>
    <mergeCell ref="C39:F39"/>
    <mergeCell ref="C40:F40"/>
    <mergeCell ref="A36:B36"/>
    <mergeCell ref="C36:F36"/>
    <mergeCell ref="G36:H36"/>
    <mergeCell ref="A37:B37"/>
    <mergeCell ref="C37:F37"/>
    <mergeCell ref="G37:H37"/>
    <mergeCell ref="B20:C20"/>
    <mergeCell ref="F26:G26"/>
    <mergeCell ref="F27:G27"/>
    <mergeCell ref="F28:G28"/>
    <mergeCell ref="F29:G29"/>
    <mergeCell ref="F31:H31"/>
    <mergeCell ref="B27:C27"/>
    <mergeCell ref="B19:C19"/>
    <mergeCell ref="A2:H2"/>
    <mergeCell ref="A3:C3"/>
    <mergeCell ref="B16:E16"/>
    <mergeCell ref="B17:C17"/>
    <mergeCell ref="B18:C18"/>
  </mergeCells>
  <printOptions horizontalCentered="1"/>
  <pageMargins left="0.46" right="0.31" top="0.51181102362204722" bottom="0.51181102362204722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DAC4-76D8-4CA2-BB38-9242FA47E6DF}">
  <sheetPr>
    <tabColor theme="7"/>
    <pageSetUpPr fitToPage="1"/>
  </sheetPr>
  <dimension ref="A1:O40"/>
  <sheetViews>
    <sheetView showGridLines="0" topLeftCell="A12" zoomScale="150" zoomScaleNormal="170" workbookViewId="0">
      <selection activeCell="F31" sqref="F31:H31"/>
    </sheetView>
  </sheetViews>
  <sheetFormatPr defaultColWidth="8.7109375" defaultRowHeight="12.75" x14ac:dyDescent="0.2"/>
  <cols>
    <col min="1" max="1" width="7.42578125" customWidth="1"/>
    <col min="2" max="2" width="18.140625" customWidth="1"/>
    <col min="3" max="3" width="26.28515625" customWidth="1"/>
    <col min="4" max="4" width="4.7109375" hidden="1" customWidth="1"/>
    <col min="5" max="5" width="0.28515625" hidden="1" customWidth="1"/>
    <col min="6" max="6" width="9.42578125" customWidth="1"/>
    <col min="7" max="7" width="15.42578125" customWidth="1"/>
    <col min="8" max="8" width="19.28515625" customWidth="1"/>
    <col min="9" max="10" width="0" hidden="1" customWidth="1"/>
    <col min="12" max="12" width="9.140625" bestFit="1" customWidth="1"/>
    <col min="13" max="13" width="11.140625" bestFit="1" customWidth="1"/>
    <col min="14" max="14" width="10.42578125" bestFit="1" customWidth="1"/>
    <col min="15" max="15" width="13.7109375" bestFit="1" customWidth="1"/>
  </cols>
  <sheetData>
    <row r="1" spans="1:8" ht="47.25" customHeight="1" x14ac:dyDescent="0.2"/>
    <row r="2" spans="1:8" ht="47.25" customHeight="1" x14ac:dyDescent="0.2">
      <c r="A2" s="91" t="s">
        <v>0</v>
      </c>
      <c r="B2" s="91"/>
      <c r="C2" s="91"/>
      <c r="D2" s="91"/>
      <c r="E2" s="91"/>
      <c r="F2" s="91"/>
      <c r="G2" s="91"/>
      <c r="H2" s="91"/>
    </row>
    <row r="3" spans="1:8" ht="18.75" customHeight="1" x14ac:dyDescent="0.8">
      <c r="A3" s="92" t="s">
        <v>1</v>
      </c>
      <c r="B3" s="92"/>
      <c r="C3" s="92"/>
      <c r="D3" s="1"/>
      <c r="H3" s="2"/>
    </row>
    <row r="4" spans="1:8" ht="12.75" customHeight="1" x14ac:dyDescent="0.2">
      <c r="A4" s="76" t="s">
        <v>2</v>
      </c>
      <c r="B4" s="3"/>
      <c r="C4" s="1"/>
      <c r="D4" s="1"/>
      <c r="E4" s="4" t="s">
        <v>3</v>
      </c>
      <c r="F4" s="4"/>
      <c r="G4" s="4" t="s">
        <v>4</v>
      </c>
      <c r="H4" s="5" t="s">
        <v>67</v>
      </c>
    </row>
    <row r="5" spans="1:8" x14ac:dyDescent="0.2">
      <c r="A5" s="76" t="s">
        <v>57</v>
      </c>
      <c r="B5" s="6"/>
      <c r="C5" s="1"/>
      <c r="D5" s="1"/>
      <c r="E5" s="4" t="s">
        <v>5</v>
      </c>
      <c r="F5" s="4"/>
      <c r="G5" s="4" t="s">
        <v>6</v>
      </c>
      <c r="H5" s="7" t="s">
        <v>68</v>
      </c>
    </row>
    <row r="6" spans="1:8" x14ac:dyDescent="0.2">
      <c r="A6" s="76" t="s">
        <v>7</v>
      </c>
      <c r="B6" s="1"/>
      <c r="C6" s="1"/>
      <c r="D6" s="1"/>
      <c r="E6" s="4" t="s">
        <v>8</v>
      </c>
      <c r="F6" s="4"/>
      <c r="G6" s="4"/>
      <c r="H6" s="8"/>
    </row>
    <row r="7" spans="1:8" ht="8.25" customHeight="1" x14ac:dyDescent="0.2">
      <c r="A7" s="1"/>
      <c r="B7" s="1"/>
      <c r="C7" s="1"/>
      <c r="D7" s="1"/>
      <c r="E7" s="4"/>
      <c r="F7" s="4"/>
      <c r="G7" s="4"/>
      <c r="H7" s="8"/>
    </row>
    <row r="8" spans="1:8" x14ac:dyDescent="0.2">
      <c r="A8" s="9" t="s">
        <v>9</v>
      </c>
      <c r="B8" s="9"/>
      <c r="C8" s="1"/>
      <c r="D8" s="1"/>
      <c r="E8" s="10" t="s">
        <v>10</v>
      </c>
      <c r="F8" s="10"/>
      <c r="G8" s="10" t="s">
        <v>11</v>
      </c>
      <c r="H8" s="5" t="s">
        <v>69</v>
      </c>
    </row>
    <row r="9" spans="1:8" hidden="1" x14ac:dyDescent="0.2">
      <c r="A9" s="1" t="s">
        <v>62</v>
      </c>
      <c r="B9" s="1"/>
      <c r="C9" s="1"/>
      <c r="D9" s="1"/>
      <c r="E9" s="10" t="s">
        <v>13</v>
      </c>
      <c r="F9" s="10"/>
      <c r="G9" s="10"/>
      <c r="H9" s="11"/>
    </row>
    <row r="10" spans="1:8" ht="15" customHeight="1" x14ac:dyDescent="0.2">
      <c r="A10" s="1" t="s">
        <v>70</v>
      </c>
      <c r="B10" s="1"/>
      <c r="C10" s="1"/>
      <c r="D10" s="1"/>
      <c r="E10" s="1"/>
      <c r="F10" s="1"/>
      <c r="G10" s="1"/>
      <c r="H10" s="1"/>
    </row>
    <row r="11" spans="1:8" ht="15" customHeight="1" x14ac:dyDescent="0.2">
      <c r="A11" t="s">
        <v>72</v>
      </c>
      <c r="B11" s="1"/>
      <c r="C11" s="1"/>
      <c r="D11" s="1"/>
      <c r="E11" s="1"/>
      <c r="F11" s="1"/>
      <c r="G11" s="1"/>
      <c r="H11" s="1"/>
    </row>
    <row r="12" spans="1:8" ht="15" customHeight="1" x14ac:dyDescent="0.2">
      <c r="A12" t="s">
        <v>71</v>
      </c>
      <c r="B12" s="1"/>
      <c r="C12" s="1"/>
      <c r="D12" s="1"/>
      <c r="E12" s="1"/>
      <c r="F12" s="1"/>
      <c r="G12" s="1"/>
      <c r="H12" s="1"/>
    </row>
    <row r="13" spans="1:8" ht="15" customHeight="1" x14ac:dyDescent="0.2">
      <c r="A13" s="1" t="s">
        <v>15</v>
      </c>
      <c r="B13" s="1" t="s">
        <v>16</v>
      </c>
      <c r="C13" s="1"/>
      <c r="D13" s="1"/>
      <c r="E13" s="1"/>
      <c r="F13" s="1"/>
      <c r="G13" s="1"/>
      <c r="H13" s="1"/>
    </row>
    <row r="14" spans="1:8" x14ac:dyDescent="0.2">
      <c r="A14" s="1" t="s">
        <v>17</v>
      </c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s="12" customFormat="1" ht="34.5" customHeight="1" x14ac:dyDescent="0.2">
      <c r="A16" s="69" t="s">
        <v>18</v>
      </c>
      <c r="B16" s="93" t="s">
        <v>19</v>
      </c>
      <c r="C16" s="94"/>
      <c r="D16" s="94"/>
      <c r="E16" s="95"/>
      <c r="F16" s="69" t="s">
        <v>63</v>
      </c>
      <c r="G16" s="70" t="s">
        <v>64</v>
      </c>
      <c r="H16" s="69" t="s">
        <v>22</v>
      </c>
    </row>
    <row r="17" spans="1:15" s="12" customFormat="1" ht="25.5" customHeight="1" x14ac:dyDescent="0.2">
      <c r="A17" s="13">
        <v>1</v>
      </c>
      <c r="B17" s="128" t="s">
        <v>73</v>
      </c>
      <c r="C17" s="129"/>
      <c r="D17" s="14"/>
      <c r="E17" s="15"/>
      <c r="F17" s="16"/>
      <c r="G17" s="17"/>
      <c r="H17" s="18"/>
      <c r="O17" s="77"/>
    </row>
    <row r="18" spans="1:15" s="12" customFormat="1" ht="20.25" customHeight="1" x14ac:dyDescent="0.2">
      <c r="A18" s="19"/>
      <c r="B18" s="130" t="s">
        <v>74</v>
      </c>
      <c r="C18" s="98"/>
      <c r="D18" s="20"/>
      <c r="E18" s="21"/>
      <c r="F18" s="22">
        <v>2</v>
      </c>
      <c r="G18" s="23">
        <v>9000</v>
      </c>
      <c r="H18" s="24">
        <f>F18*G18*7</f>
        <v>126000</v>
      </c>
    </row>
    <row r="19" spans="1:15" s="12" customFormat="1" ht="20.25" customHeight="1" x14ac:dyDescent="0.2">
      <c r="A19" s="19"/>
      <c r="B19" s="130" t="s">
        <v>75</v>
      </c>
      <c r="C19" s="90"/>
      <c r="D19" s="20"/>
      <c r="E19" s="21"/>
      <c r="F19" s="22">
        <v>2</v>
      </c>
      <c r="G19" s="23">
        <v>8000</v>
      </c>
      <c r="H19" s="24">
        <f>F19*G19*15</f>
        <v>240000</v>
      </c>
      <c r="N19" s="78"/>
      <c r="O19" s="77"/>
    </row>
    <row r="20" spans="1:15" s="12" customFormat="1" ht="20.25" customHeight="1" x14ac:dyDescent="0.2">
      <c r="A20" s="19"/>
      <c r="B20" s="131" t="s">
        <v>76</v>
      </c>
      <c r="C20" s="107"/>
      <c r="D20" s="20"/>
      <c r="E20" s="21"/>
      <c r="F20" s="22">
        <v>2</v>
      </c>
      <c r="G20" s="23">
        <v>7000</v>
      </c>
      <c r="H20" s="24">
        <f>F20*G20*30</f>
        <v>420000</v>
      </c>
    </row>
    <row r="21" spans="1:15" s="12" customFormat="1" ht="20.25" customHeight="1" x14ac:dyDescent="0.2">
      <c r="A21" s="19"/>
      <c r="B21" s="25"/>
      <c r="C21" s="26"/>
      <c r="D21" s="20"/>
      <c r="E21" s="21"/>
      <c r="F21" s="22"/>
      <c r="G21" s="23"/>
      <c r="H21" s="24"/>
    </row>
    <row r="22" spans="1:15" s="12" customFormat="1" ht="20.25" customHeight="1" x14ac:dyDescent="0.2">
      <c r="A22" s="19"/>
      <c r="B22" s="25"/>
      <c r="C22" s="26"/>
      <c r="D22" s="20"/>
      <c r="E22" s="21"/>
      <c r="F22" s="22"/>
      <c r="G22" s="23"/>
      <c r="H22" s="24"/>
    </row>
    <row r="23" spans="1:15" s="12" customFormat="1" ht="20.25" customHeight="1" x14ac:dyDescent="0.2">
      <c r="A23" s="19"/>
      <c r="B23" s="25"/>
      <c r="C23" s="26"/>
      <c r="D23" s="20"/>
      <c r="E23" s="21"/>
      <c r="F23" s="22"/>
      <c r="G23" s="23"/>
      <c r="H23" s="24"/>
    </row>
    <row r="24" spans="1:15" s="12" customFormat="1" ht="20.25" customHeight="1" x14ac:dyDescent="0.2">
      <c r="A24" s="19"/>
      <c r="B24" s="25"/>
      <c r="C24" s="26"/>
      <c r="D24" s="20"/>
      <c r="E24" s="21"/>
      <c r="F24" s="22"/>
      <c r="G24" s="23"/>
      <c r="H24" s="24"/>
    </row>
    <row r="25" spans="1:15" s="12" customFormat="1" ht="20.25" customHeight="1" x14ac:dyDescent="0.2">
      <c r="A25" s="27"/>
      <c r="B25" s="28"/>
      <c r="C25" s="29"/>
      <c r="D25" s="30"/>
      <c r="E25" s="31"/>
      <c r="F25" s="32"/>
      <c r="G25" s="31"/>
      <c r="H25" s="33"/>
    </row>
    <row r="26" spans="1:15" s="12" customFormat="1" ht="19.149999999999999" customHeight="1" x14ac:dyDescent="0.2">
      <c r="A26" s="34" t="s">
        <v>30</v>
      </c>
      <c r="B26" s="72" t="s">
        <v>77</v>
      </c>
      <c r="C26" s="73"/>
      <c r="D26" s="35"/>
      <c r="E26" s="36" t="s">
        <v>32</v>
      </c>
      <c r="F26" s="108" t="s">
        <v>33</v>
      </c>
      <c r="G26" s="109"/>
      <c r="H26" s="37">
        <f>H17</f>
        <v>0</v>
      </c>
      <c r="M26" s="38"/>
    </row>
    <row r="27" spans="1:15" s="12" customFormat="1" ht="20.25" customHeight="1" x14ac:dyDescent="0.2">
      <c r="A27" s="39"/>
      <c r="B27" s="115"/>
      <c r="C27" s="116"/>
      <c r="D27" s="35"/>
      <c r="E27" s="36"/>
      <c r="F27" s="108" t="s">
        <v>34</v>
      </c>
      <c r="G27" s="109"/>
      <c r="H27" s="37">
        <v>0</v>
      </c>
    </row>
    <row r="28" spans="1:15" s="12" customFormat="1" ht="19.149999999999999" customHeight="1" x14ac:dyDescent="0.2">
      <c r="A28" s="39"/>
      <c r="B28" s="74"/>
      <c r="C28" s="75"/>
      <c r="D28" s="35"/>
      <c r="E28" s="36"/>
      <c r="F28" s="108" t="s">
        <v>35</v>
      </c>
      <c r="G28" s="109"/>
      <c r="H28" s="37">
        <f>H26-H27</f>
        <v>0</v>
      </c>
    </row>
    <row r="29" spans="1:15" s="12" customFormat="1" ht="19.149999999999999" customHeight="1" x14ac:dyDescent="0.2">
      <c r="A29" s="39"/>
      <c r="B29" s="40"/>
      <c r="C29" s="41"/>
      <c r="D29" s="35"/>
      <c r="E29" s="36" t="s">
        <v>36</v>
      </c>
      <c r="F29" s="110" t="s">
        <v>37</v>
      </c>
      <c r="G29" s="111"/>
      <c r="H29" s="37">
        <f>H28*7%</f>
        <v>0</v>
      </c>
    </row>
    <row r="30" spans="1:15" s="12" customFormat="1" ht="19.149999999999999" customHeight="1" x14ac:dyDescent="0.2">
      <c r="A30" s="39"/>
      <c r="B30" s="40"/>
      <c r="C30" s="41"/>
      <c r="D30" s="35"/>
      <c r="E30" s="36"/>
      <c r="F30" s="42" t="s">
        <v>38</v>
      </c>
      <c r="G30" s="43"/>
      <c r="H30" s="71">
        <f>H28+H29</f>
        <v>0</v>
      </c>
    </row>
    <row r="31" spans="1:15" s="12" customFormat="1" ht="15.75" customHeight="1" x14ac:dyDescent="0.2">
      <c r="A31" s="44"/>
      <c r="B31" s="45"/>
      <c r="C31" s="46"/>
      <c r="D31" s="47"/>
      <c r="E31" s="47"/>
      <c r="F31" s="112" t="str">
        <f>"("&amp;(BAHTTEXT(H30)&amp;")")</f>
        <v>(ศูนย์บาทถ้วน)</v>
      </c>
      <c r="G31" s="113"/>
      <c r="H31" s="114"/>
    </row>
    <row r="32" spans="1:15" ht="8.25" customHeight="1" x14ac:dyDescent="0.2">
      <c r="A32" s="1"/>
      <c r="B32" s="1"/>
      <c r="C32" s="1"/>
      <c r="D32" s="1"/>
      <c r="E32" s="1"/>
      <c r="F32" s="48"/>
      <c r="G32" s="48"/>
      <c r="H32" s="48"/>
    </row>
    <row r="33" spans="1:10" ht="14.25" customHeight="1" x14ac:dyDescent="0.2">
      <c r="A33" s="49" t="s">
        <v>65</v>
      </c>
      <c r="B33" s="50"/>
      <c r="C33" s="50"/>
      <c r="D33" s="50"/>
      <c r="E33" s="50"/>
      <c r="F33" s="50"/>
      <c r="G33" s="50"/>
      <c r="H33" s="51"/>
    </row>
    <row r="34" spans="1:10" x14ac:dyDescent="0.2">
      <c r="A34" s="52" t="s">
        <v>39</v>
      </c>
      <c r="B34" s="1"/>
      <c r="C34" s="1"/>
      <c r="D34" s="1"/>
      <c r="E34" s="1"/>
      <c r="F34" s="1"/>
      <c r="G34" s="1"/>
      <c r="H34" s="53"/>
    </row>
    <row r="35" spans="1:10" x14ac:dyDescent="0.2">
      <c r="A35" s="54"/>
      <c r="B35" s="55"/>
      <c r="C35" s="55"/>
      <c r="D35" s="55"/>
      <c r="E35" s="55"/>
      <c r="F35" s="55"/>
      <c r="G35" s="55"/>
      <c r="H35" s="56"/>
    </row>
    <row r="36" spans="1:10" ht="16.5" customHeight="1" x14ac:dyDescent="0.2">
      <c r="A36" s="125" t="s">
        <v>40</v>
      </c>
      <c r="B36" s="126"/>
      <c r="C36" s="99" t="s">
        <v>41</v>
      </c>
      <c r="D36" s="127"/>
      <c r="E36" s="127"/>
      <c r="F36" s="100"/>
      <c r="G36" s="99" t="s">
        <v>42</v>
      </c>
      <c r="H36" s="100"/>
      <c r="I36" s="57"/>
      <c r="J36" s="58"/>
    </row>
    <row r="37" spans="1:10" ht="60" customHeight="1" x14ac:dyDescent="0.2">
      <c r="A37" s="101" t="s">
        <v>43</v>
      </c>
      <c r="B37" s="102"/>
      <c r="C37" s="103" t="s">
        <v>44</v>
      </c>
      <c r="D37" s="104"/>
      <c r="E37" s="104"/>
      <c r="F37" s="105"/>
      <c r="G37" s="103" t="s">
        <v>45</v>
      </c>
      <c r="H37" s="105"/>
      <c r="J37" s="59"/>
    </row>
    <row r="38" spans="1:10" x14ac:dyDescent="0.2">
      <c r="A38" s="60"/>
      <c r="B38" s="61"/>
      <c r="C38" s="62"/>
      <c r="F38" s="59"/>
      <c r="G38" s="62"/>
      <c r="H38" s="59"/>
      <c r="J38" s="59"/>
    </row>
    <row r="39" spans="1:10" ht="14.25" x14ac:dyDescent="0.2">
      <c r="A39" s="117"/>
      <c r="B39" s="118"/>
      <c r="C39" s="119" t="s">
        <v>46</v>
      </c>
      <c r="D39" s="120"/>
      <c r="E39" s="120"/>
      <c r="F39" s="121"/>
      <c r="G39" s="39" t="s">
        <v>47</v>
      </c>
      <c r="H39" s="63"/>
      <c r="I39" s="1"/>
      <c r="J39" s="53"/>
    </row>
    <row r="40" spans="1:10" ht="17.25" customHeight="1" x14ac:dyDescent="0.2">
      <c r="A40" s="64" t="s">
        <v>48</v>
      </c>
      <c r="B40" s="65" t="s">
        <v>66</v>
      </c>
      <c r="C40" s="122" t="s">
        <v>60</v>
      </c>
      <c r="D40" s="123"/>
      <c r="E40" s="123"/>
      <c r="F40" s="124"/>
      <c r="G40" s="66" t="s">
        <v>61</v>
      </c>
      <c r="H40" s="67"/>
      <c r="I40" s="68"/>
      <c r="J40" s="67"/>
    </row>
  </sheetData>
  <mergeCells count="22">
    <mergeCell ref="F29:G29"/>
    <mergeCell ref="A2:H2"/>
    <mergeCell ref="A3:C3"/>
    <mergeCell ref="B16:E16"/>
    <mergeCell ref="B17:C17"/>
    <mergeCell ref="B18:C18"/>
    <mergeCell ref="B19:C19"/>
    <mergeCell ref="B20:C20"/>
    <mergeCell ref="F26:G26"/>
    <mergeCell ref="B27:C27"/>
    <mergeCell ref="F27:G27"/>
    <mergeCell ref="F28:G28"/>
    <mergeCell ref="A39:B39"/>
    <mergeCell ref="C39:F39"/>
    <mergeCell ref="C40:F40"/>
    <mergeCell ref="F31:H31"/>
    <mergeCell ref="A36:B36"/>
    <mergeCell ref="C36:F36"/>
    <mergeCell ref="G36:H36"/>
    <mergeCell ref="A37:B37"/>
    <mergeCell ref="C37:F37"/>
    <mergeCell ref="G37:H37"/>
  </mergeCells>
  <printOptions horizontalCentered="1"/>
  <pageMargins left="0.46" right="0.31" top="0.51181102362204722" bottom="0.51181102362204722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8951-BF64-B644-B3F3-5D78C7D80759}">
  <sheetPr>
    <tabColor theme="7"/>
    <pageSetUpPr fitToPage="1"/>
  </sheetPr>
  <dimension ref="A1:Q40"/>
  <sheetViews>
    <sheetView showGridLines="0" tabSelected="1" topLeftCell="A21" zoomScale="180" zoomScaleNormal="180" workbookViewId="0">
      <selection activeCell="L32" sqref="L32"/>
    </sheetView>
  </sheetViews>
  <sheetFormatPr defaultColWidth="8.7109375" defaultRowHeight="12.75" x14ac:dyDescent="0.2"/>
  <cols>
    <col min="1" max="1" width="8.7109375" customWidth="1"/>
    <col min="2" max="2" width="18.140625" customWidth="1"/>
    <col min="3" max="3" width="26.28515625" customWidth="1"/>
    <col min="4" max="4" width="4.7109375" hidden="1" customWidth="1"/>
    <col min="5" max="5" width="0.28515625" hidden="1" customWidth="1"/>
    <col min="6" max="6" width="9.42578125" customWidth="1"/>
    <col min="7" max="7" width="15.42578125" customWidth="1"/>
    <col min="8" max="8" width="19.28515625" customWidth="1"/>
    <col min="9" max="10" width="0" hidden="1" customWidth="1"/>
    <col min="11" max="11" width="12.140625" bestFit="1" customWidth="1"/>
    <col min="12" max="12" width="10.5703125" bestFit="1" customWidth="1"/>
    <col min="13" max="13" width="11.140625" bestFit="1" customWidth="1"/>
    <col min="14" max="14" width="10.42578125" bestFit="1" customWidth="1"/>
    <col min="15" max="15" width="13.7109375" bestFit="1" customWidth="1"/>
    <col min="16" max="17" width="10.140625" bestFit="1" customWidth="1"/>
  </cols>
  <sheetData>
    <row r="1" spans="1:8" ht="47.25" customHeight="1" x14ac:dyDescent="0.2"/>
    <row r="2" spans="1:8" ht="47.25" customHeight="1" x14ac:dyDescent="0.2">
      <c r="A2" s="91" t="s">
        <v>0</v>
      </c>
      <c r="B2" s="91"/>
      <c r="C2" s="91"/>
      <c r="D2" s="91"/>
      <c r="E2" s="91"/>
      <c r="F2" s="91"/>
      <c r="G2" s="91"/>
      <c r="H2" s="91"/>
    </row>
    <row r="3" spans="1:8" ht="18.75" customHeight="1" x14ac:dyDescent="0.8">
      <c r="A3" s="92" t="s">
        <v>1</v>
      </c>
      <c r="B3" s="92"/>
      <c r="C3" s="92"/>
      <c r="D3" s="1"/>
      <c r="H3" s="2"/>
    </row>
    <row r="4" spans="1:8" ht="12.75" customHeight="1" x14ac:dyDescent="0.2">
      <c r="A4" s="76" t="s">
        <v>2</v>
      </c>
      <c r="B4" s="3"/>
      <c r="C4" s="1"/>
      <c r="D4" s="1"/>
      <c r="E4" s="4" t="s">
        <v>3</v>
      </c>
      <c r="F4" s="4"/>
      <c r="G4" s="4" t="s">
        <v>4</v>
      </c>
      <c r="H4" s="80" t="s">
        <v>88</v>
      </c>
    </row>
    <row r="5" spans="1:8" x14ac:dyDescent="0.2">
      <c r="A5" s="76" t="s">
        <v>57</v>
      </c>
      <c r="B5" s="6"/>
      <c r="C5" s="1"/>
      <c r="D5" s="1"/>
      <c r="E5" s="4" t="s">
        <v>5</v>
      </c>
      <c r="F5" s="4"/>
      <c r="G5" s="4" t="s">
        <v>6</v>
      </c>
      <c r="H5" s="7" t="s">
        <v>89</v>
      </c>
    </row>
    <row r="6" spans="1:8" x14ac:dyDescent="0.2">
      <c r="A6" s="76" t="s">
        <v>7</v>
      </c>
      <c r="B6" s="1"/>
      <c r="C6" s="1"/>
      <c r="D6" s="1"/>
      <c r="E6" s="4" t="s">
        <v>8</v>
      </c>
      <c r="F6" s="4"/>
      <c r="G6" s="4"/>
      <c r="H6" s="8"/>
    </row>
    <row r="7" spans="1:8" ht="8.25" customHeight="1" x14ac:dyDescent="0.2">
      <c r="A7" s="1"/>
      <c r="B7" s="1"/>
      <c r="C7" s="1"/>
      <c r="D7" s="1"/>
      <c r="E7" s="4"/>
      <c r="F7" s="4"/>
      <c r="G7" s="4"/>
      <c r="H7" s="8"/>
    </row>
    <row r="8" spans="1:8" x14ac:dyDescent="0.2">
      <c r="A8" s="9" t="s">
        <v>9</v>
      </c>
      <c r="B8" s="9"/>
      <c r="C8" s="1"/>
      <c r="D8" s="1"/>
      <c r="E8" s="10" t="s">
        <v>10</v>
      </c>
      <c r="F8" s="10"/>
      <c r="G8" s="10" t="s">
        <v>11</v>
      </c>
      <c r="H8" s="5">
        <v>45898</v>
      </c>
    </row>
    <row r="9" spans="1:8" hidden="1" x14ac:dyDescent="0.2">
      <c r="A9" s="1" t="s">
        <v>62</v>
      </c>
      <c r="B9" s="1"/>
      <c r="C9" s="1"/>
      <c r="D9" s="1"/>
      <c r="E9" s="10" t="s">
        <v>13</v>
      </c>
      <c r="F9" s="10"/>
      <c r="G9" s="10"/>
      <c r="H9" s="11"/>
    </row>
    <row r="10" spans="1:8" ht="15" customHeight="1" x14ac:dyDescent="0.2">
      <c r="A10" s="1" t="s">
        <v>80</v>
      </c>
      <c r="B10" s="1"/>
      <c r="C10" s="1"/>
      <c r="D10" s="1"/>
      <c r="E10" s="1"/>
      <c r="F10" s="1"/>
      <c r="G10" s="1"/>
      <c r="H10" s="79"/>
    </row>
    <row r="11" spans="1:8" ht="15" customHeight="1" x14ac:dyDescent="0.2">
      <c r="A11" t="s">
        <v>81</v>
      </c>
      <c r="B11" s="1"/>
      <c r="C11" s="1"/>
      <c r="D11" s="1"/>
      <c r="E11" s="1"/>
      <c r="F11" s="1"/>
      <c r="G11" s="1"/>
      <c r="H11" s="1"/>
    </row>
    <row r="12" spans="1:8" ht="15" customHeight="1" x14ac:dyDescent="0.2">
      <c r="A12" t="s">
        <v>82</v>
      </c>
      <c r="B12" s="1"/>
      <c r="C12" s="1"/>
      <c r="D12" s="1"/>
      <c r="E12" s="1"/>
      <c r="F12" s="1"/>
      <c r="G12" s="1"/>
      <c r="H12" s="1"/>
    </row>
    <row r="13" spans="1:8" ht="15" customHeight="1" x14ac:dyDescent="0.2">
      <c r="A13" s="1" t="s">
        <v>15</v>
      </c>
      <c r="B13" s="1" t="s">
        <v>16</v>
      </c>
      <c r="C13" s="1"/>
      <c r="D13" s="1"/>
      <c r="E13" s="1"/>
      <c r="F13" s="1"/>
      <c r="G13" s="1"/>
      <c r="H13" s="1"/>
    </row>
    <row r="14" spans="1:8" x14ac:dyDescent="0.2">
      <c r="A14" s="1" t="s">
        <v>83</v>
      </c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s="12" customFormat="1" ht="34.5" customHeight="1" x14ac:dyDescent="0.2">
      <c r="A16" s="69" t="s">
        <v>18</v>
      </c>
      <c r="B16" s="93" t="s">
        <v>19</v>
      </c>
      <c r="C16" s="94"/>
      <c r="D16" s="94"/>
      <c r="E16" s="95"/>
      <c r="F16" s="69" t="s">
        <v>63</v>
      </c>
      <c r="G16" s="70" t="s">
        <v>64</v>
      </c>
      <c r="H16" s="69" t="s">
        <v>78</v>
      </c>
    </row>
    <row r="17" spans="1:15" s="12" customFormat="1" ht="43.9" customHeight="1" x14ac:dyDescent="0.2">
      <c r="A17" s="13">
        <v>1</v>
      </c>
      <c r="B17" s="128" t="s">
        <v>86</v>
      </c>
      <c r="C17" s="129"/>
      <c r="D17" s="14"/>
      <c r="E17" s="15"/>
      <c r="F17" s="16">
        <v>2</v>
      </c>
      <c r="G17" s="17">
        <v>10000</v>
      </c>
      <c r="H17" s="18">
        <f>F17*G17</f>
        <v>20000</v>
      </c>
      <c r="O17" s="77"/>
    </row>
    <row r="18" spans="1:15" s="12" customFormat="1" ht="36" customHeight="1" x14ac:dyDescent="0.2">
      <c r="A18" s="19"/>
      <c r="B18" s="135"/>
      <c r="C18" s="136"/>
      <c r="D18" s="20"/>
      <c r="E18" s="21"/>
      <c r="F18" s="22"/>
      <c r="G18" s="17"/>
      <c r="H18" s="18"/>
    </row>
    <row r="19" spans="1:15" s="12" customFormat="1" ht="20.25" customHeight="1" x14ac:dyDescent="0.2">
      <c r="A19" s="19"/>
      <c r="B19" s="130"/>
      <c r="C19" s="90"/>
      <c r="D19" s="20"/>
      <c r="E19" s="21"/>
      <c r="F19" s="22"/>
      <c r="G19" s="23"/>
      <c r="H19" s="24"/>
      <c r="N19" s="78"/>
      <c r="O19" s="77"/>
    </row>
    <row r="20" spans="1:15" s="12" customFormat="1" ht="20.25" customHeight="1" x14ac:dyDescent="0.2">
      <c r="A20" s="19"/>
      <c r="B20" s="131"/>
      <c r="C20" s="107"/>
      <c r="D20" s="20"/>
      <c r="E20" s="21"/>
      <c r="F20" s="22"/>
      <c r="G20" s="23"/>
      <c r="H20" s="24"/>
    </row>
    <row r="21" spans="1:15" s="12" customFormat="1" ht="20.25" customHeight="1" x14ac:dyDescent="0.2">
      <c r="A21" s="19"/>
      <c r="B21" s="25"/>
      <c r="C21" s="26"/>
      <c r="D21" s="20"/>
      <c r="E21" s="21"/>
      <c r="F21" s="22"/>
      <c r="G21" s="23"/>
      <c r="H21" s="24"/>
    </row>
    <row r="22" spans="1:15" s="12" customFormat="1" ht="20.25" customHeight="1" x14ac:dyDescent="0.2">
      <c r="A22" s="19"/>
      <c r="B22" s="25"/>
      <c r="C22" s="26"/>
      <c r="D22" s="20"/>
      <c r="E22" s="21"/>
      <c r="F22" s="22"/>
      <c r="G22" s="23"/>
      <c r="H22" s="24"/>
    </row>
    <row r="23" spans="1:15" s="12" customFormat="1" ht="20.25" customHeight="1" x14ac:dyDescent="0.2">
      <c r="A23" s="19"/>
      <c r="B23" s="25"/>
      <c r="C23" s="26"/>
      <c r="D23" s="20"/>
      <c r="E23" s="21"/>
      <c r="F23" s="22"/>
      <c r="G23" s="23"/>
      <c r="H23" s="24"/>
    </row>
    <row r="24" spans="1:15" s="12" customFormat="1" ht="20.25" customHeight="1" x14ac:dyDescent="0.2">
      <c r="A24" s="19"/>
      <c r="B24" s="25"/>
      <c r="C24" s="26"/>
      <c r="D24" s="20"/>
      <c r="E24" s="21"/>
      <c r="F24" s="22"/>
      <c r="G24" s="23"/>
      <c r="H24" s="24"/>
    </row>
    <row r="25" spans="1:15" s="12" customFormat="1" ht="20.25" customHeight="1" x14ac:dyDescent="0.2">
      <c r="A25" s="27"/>
      <c r="B25" s="28"/>
      <c r="C25" s="29"/>
      <c r="D25" s="30"/>
      <c r="E25" s="31"/>
      <c r="F25" s="32"/>
      <c r="G25" s="31"/>
      <c r="H25" s="33"/>
    </row>
    <row r="26" spans="1:15" s="12" customFormat="1" ht="19.149999999999999" customHeight="1" x14ac:dyDescent="0.2">
      <c r="A26" s="34" t="s">
        <v>87</v>
      </c>
      <c r="B26" s="85" t="s">
        <v>77</v>
      </c>
      <c r="C26" s="73"/>
      <c r="D26" s="35"/>
      <c r="E26" s="36" t="s">
        <v>32</v>
      </c>
      <c r="F26" s="108" t="s">
        <v>33</v>
      </c>
      <c r="G26" s="109"/>
      <c r="H26" s="37">
        <f>H17+H18</f>
        <v>20000</v>
      </c>
      <c r="M26" s="38"/>
    </row>
    <row r="27" spans="1:15" s="12" customFormat="1" ht="20.25" customHeight="1" x14ac:dyDescent="0.2">
      <c r="A27" s="39"/>
      <c r="B27" s="115"/>
      <c r="C27" s="116"/>
      <c r="D27" s="35"/>
      <c r="E27" s="36"/>
      <c r="F27" s="108" t="s">
        <v>34</v>
      </c>
      <c r="G27" s="109"/>
      <c r="H27" s="86">
        <f>20%*H26</f>
        <v>4000</v>
      </c>
      <c r="K27" s="82"/>
      <c r="L27" s="38"/>
    </row>
    <row r="28" spans="1:15" s="12" customFormat="1" ht="19.149999999999999" customHeight="1" x14ac:dyDescent="0.2">
      <c r="A28" s="39"/>
      <c r="B28" s="74"/>
      <c r="C28" s="75"/>
      <c r="D28" s="35"/>
      <c r="E28" s="36"/>
      <c r="F28" s="108" t="s">
        <v>35</v>
      </c>
      <c r="G28" s="109"/>
      <c r="H28" s="87">
        <f>H26-H27</f>
        <v>16000</v>
      </c>
      <c r="L28" s="38"/>
    </row>
    <row r="29" spans="1:15" s="12" customFormat="1" ht="19.149999999999999" customHeight="1" x14ac:dyDescent="0.2">
      <c r="A29" s="39"/>
      <c r="B29" s="40"/>
      <c r="C29" s="41"/>
      <c r="D29" s="35"/>
      <c r="E29" s="36" t="s">
        <v>36</v>
      </c>
      <c r="F29" s="110" t="s">
        <v>37</v>
      </c>
      <c r="G29" s="111"/>
      <c r="H29" s="87">
        <f>H28*7%</f>
        <v>1120</v>
      </c>
    </row>
    <row r="30" spans="1:15" s="12" customFormat="1" ht="19.149999999999999" customHeight="1" x14ac:dyDescent="0.2">
      <c r="A30" s="39"/>
      <c r="B30" s="40"/>
      <c r="C30" s="41"/>
      <c r="D30" s="35"/>
      <c r="E30" s="36"/>
      <c r="F30" s="42" t="s">
        <v>38</v>
      </c>
      <c r="G30" s="43"/>
      <c r="H30" s="88">
        <f>H28+H29</f>
        <v>17120</v>
      </c>
      <c r="K30" s="38"/>
    </row>
    <row r="31" spans="1:15" s="12" customFormat="1" ht="15.75" customHeight="1" x14ac:dyDescent="0.2">
      <c r="A31" s="44"/>
      <c r="B31" s="45"/>
      <c r="C31" s="46"/>
      <c r="D31" s="47"/>
      <c r="E31" s="47"/>
      <c r="F31" s="132"/>
      <c r="G31" s="133"/>
      <c r="H31" s="134"/>
    </row>
    <row r="32" spans="1:15" ht="8.25" customHeight="1" x14ac:dyDescent="0.2">
      <c r="A32" s="1"/>
      <c r="B32" s="1"/>
      <c r="C32" s="1"/>
      <c r="D32" s="1"/>
      <c r="E32" s="1"/>
      <c r="F32" s="48"/>
      <c r="G32" s="48"/>
      <c r="H32" s="48"/>
    </row>
    <row r="33" spans="1:17" ht="14.25" customHeight="1" x14ac:dyDescent="0.2">
      <c r="A33" s="49" t="s">
        <v>65</v>
      </c>
      <c r="B33" s="50"/>
      <c r="C33" s="50"/>
      <c r="D33" s="50"/>
      <c r="E33" s="50"/>
      <c r="F33" s="50"/>
      <c r="G33" s="50"/>
      <c r="H33" s="51"/>
    </row>
    <row r="34" spans="1:17" x14ac:dyDescent="0.2">
      <c r="A34" s="62" t="s">
        <v>39</v>
      </c>
      <c r="B34" s="1"/>
      <c r="C34" s="1"/>
      <c r="D34" s="1"/>
      <c r="E34" s="1"/>
      <c r="F34" s="1"/>
      <c r="G34" s="1"/>
      <c r="H34" s="53"/>
    </row>
    <row r="35" spans="1:17" x14ac:dyDescent="0.2">
      <c r="A35" s="81"/>
      <c r="B35" s="55"/>
      <c r="C35" s="55"/>
      <c r="D35" s="55"/>
      <c r="E35" s="55"/>
      <c r="F35" s="55"/>
      <c r="G35" s="55"/>
      <c r="H35" s="56"/>
    </row>
    <row r="36" spans="1:17" ht="16.5" customHeight="1" x14ac:dyDescent="0.2">
      <c r="A36" s="125" t="s">
        <v>40</v>
      </c>
      <c r="B36" s="126"/>
      <c r="C36" s="99" t="s">
        <v>41</v>
      </c>
      <c r="D36" s="127"/>
      <c r="E36" s="127"/>
      <c r="F36" s="100"/>
      <c r="G36" s="99" t="s">
        <v>42</v>
      </c>
      <c r="H36" s="100"/>
      <c r="I36" s="57"/>
      <c r="J36" s="58"/>
      <c r="P36" s="83"/>
      <c r="Q36" s="83"/>
    </row>
    <row r="37" spans="1:17" ht="60" customHeight="1" x14ac:dyDescent="0.2">
      <c r="A37" s="101" t="s">
        <v>43</v>
      </c>
      <c r="B37" s="102"/>
      <c r="C37" s="103" t="s">
        <v>44</v>
      </c>
      <c r="D37" s="104"/>
      <c r="E37" s="104"/>
      <c r="F37" s="105"/>
      <c r="G37" s="103" t="s">
        <v>45</v>
      </c>
      <c r="H37" s="105"/>
      <c r="J37" s="59"/>
      <c r="Q37" s="84"/>
    </row>
    <row r="38" spans="1:17" x14ac:dyDescent="0.2">
      <c r="A38" s="60"/>
      <c r="B38" s="61"/>
      <c r="C38" s="62"/>
      <c r="F38" s="59"/>
      <c r="G38" s="62"/>
      <c r="H38" s="59"/>
      <c r="J38" s="59"/>
    </row>
    <row r="39" spans="1:17" ht="14.25" x14ac:dyDescent="0.2">
      <c r="A39" s="117"/>
      <c r="B39" s="118"/>
      <c r="C39" s="119" t="s">
        <v>46</v>
      </c>
      <c r="D39" s="120"/>
      <c r="E39" s="120"/>
      <c r="F39" s="121"/>
      <c r="G39" s="39" t="s">
        <v>79</v>
      </c>
      <c r="H39" s="63"/>
      <c r="I39" s="1"/>
      <c r="J39" s="53"/>
    </row>
    <row r="40" spans="1:17" ht="17.25" customHeight="1" x14ac:dyDescent="0.2">
      <c r="A40" s="64" t="s">
        <v>48</v>
      </c>
      <c r="B40" s="65" t="s">
        <v>90</v>
      </c>
      <c r="C40" s="122" t="s">
        <v>84</v>
      </c>
      <c r="D40" s="123"/>
      <c r="E40" s="123"/>
      <c r="F40" s="124"/>
      <c r="G40" s="66" t="s">
        <v>85</v>
      </c>
      <c r="H40" s="67"/>
      <c r="I40" s="68"/>
      <c r="J40" s="67"/>
    </row>
  </sheetData>
  <mergeCells count="22">
    <mergeCell ref="F29:G29"/>
    <mergeCell ref="A2:H2"/>
    <mergeCell ref="A3:C3"/>
    <mergeCell ref="B16:E16"/>
    <mergeCell ref="B17:C17"/>
    <mergeCell ref="B18:C18"/>
    <mergeCell ref="B19:C19"/>
    <mergeCell ref="B20:C20"/>
    <mergeCell ref="F26:G26"/>
    <mergeCell ref="B27:C27"/>
    <mergeCell ref="F27:G27"/>
    <mergeCell ref="F28:G28"/>
    <mergeCell ref="A39:B39"/>
    <mergeCell ref="C39:F39"/>
    <mergeCell ref="C40:F40"/>
    <mergeCell ref="F31:H31"/>
    <mergeCell ref="A36:B36"/>
    <mergeCell ref="C36:F36"/>
    <mergeCell ref="G36:H36"/>
    <mergeCell ref="A37:B37"/>
    <mergeCell ref="C37:F37"/>
    <mergeCell ref="G37:H37"/>
  </mergeCells>
  <printOptions horizontalCentered="1"/>
  <pageMargins left="0.46" right="0.31" top="0.51181102362204722" bottom="0.51181102362204722" header="0.51181102362204722" footer="0.51181102362204722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ใบเสนอราคา Oct66</vt:lpstr>
      <vt:lpstr>ใบเสนอราคา July67</vt:lpstr>
      <vt:lpstr>LensX40</vt:lpstr>
      <vt:lpstr>LensX40!Print_Area</vt:lpstr>
      <vt:lpstr>'ใบเสนอราคา July67'!Print_Area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INF-N115</dc:creator>
  <cp:lastModifiedBy>sukrit wannasuk</cp:lastModifiedBy>
  <cp:lastPrinted>2025-08-28T09:19:53Z</cp:lastPrinted>
  <dcterms:created xsi:type="dcterms:W3CDTF">2022-12-03T14:32:48Z</dcterms:created>
  <dcterms:modified xsi:type="dcterms:W3CDTF">2025-08-28T09:42:39Z</dcterms:modified>
</cp:coreProperties>
</file>